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_Manife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<sst xmlns="http://schemas.openxmlformats.org/spreadsheetml/2006/main" count="46" uniqueCount="45">
  <si>
    <t xml:space="preserve">DANH SÁCH LỖI CÀI SẴN (BUG MANIFEST)</t>
  </si>
  <si>
    <t xml:space="preserve">Nộp RIÊNG cho giảng viên cùng lúc bàn giao sản phẩm (tuần 6). KHÔNG gửi cho bạn test. Không cần sửa lỗi: giữ nguyên sản phẩm đến hết buổi demo. Mỗi lỗi phải vi phạm một yêu cầu cụ thể trong SRS.</t>
  </si>
  <si>
    <t xml:space="preserve">Họ và tên</t>
  </si>
  <si>
    <t xml:space="preserve">Tự kiểm tra số lượng</t>
  </si>
  <si>
    <t xml:space="preserve">Số lượng</t>
  </si>
  <si>
    <t xml:space="preserve">Tối thiểu</t>
  </si>
  <si>
    <t xml:space="preserve">Trạng thái</t>
  </si>
  <si>
    <t xml:space="preserve">MSSV</t>
  </si>
  <si>
    <t xml:space="preserve">Functional</t>
  </si>
  <si>
    <t xml:space="preserve">Tên hệ thống</t>
  </si>
  <si>
    <t xml:space="preserve">Visual</t>
  </si>
  <si>
    <t xml:space="preserve">Link sản phẩm</t>
  </si>
  <si>
    <t xml:space="preserve">Content</t>
  </si>
  <si>
    <t xml:space="preserve">Tester (bạn cặp)</t>
  </si>
  <si>
    <t xml:space="preserve">Performance</t>
  </si>
  <si>
    <t xml:space="preserve">Ngày nộp</t>
  </si>
  <si>
    <t xml:space="preserve">Crash</t>
  </si>
  <si>
    <t xml:space="preserve">Tổng số lỗi</t>
  </si>
  <si>
    <t xml:space="preserve">Mức Critical + Major</t>
  </si>
  <si>
    <t xml:space="preserve">Bảng tự đếm theo cột Loại lỗi và Mức nghiêm trọng bên dưới.</t>
  </si>
  <si>
    <t xml:space="preserve">Chú thích:  ô nền vàng nhạt = sinh viên điền;  dòng chữ xám nghiêng = VÍ DỤ, ghi đè hoặc xoá khi làm;  cột có mũi tên = chọn từ danh sách.</t>
  </si>
  <si>
    <t xml:space="preserve">Mã lỗi</t>
  </si>
  <si>
    <t xml:space="preserve">Loại lỗi</t>
  </si>
  <si>
    <t xml:space="preserve">Mức nghiêm trọng</t>
  </si>
  <si>
    <t xml:space="preserve">Chức năng / Luồng</t>
  </si>
  <si>
    <t xml:space="preserve">Vị trí (màn hình, URL, API)</t>
  </si>
  <si>
    <t xml:space="preserve">Yêu cầu SRS bị vi phạm (mã + trích nội dung)</t>
  </si>
  <si>
    <t xml:space="preserve">Mô tả lỗi</t>
  </si>
  <si>
    <t xml:space="preserve">Các bước tái hiện</t>
  </si>
  <si>
    <t xml:space="preserve">Kết quả mong đợi (theo SRS)</t>
  </si>
  <si>
    <t xml:space="preserve">Kết quả thực tế</t>
  </si>
  <si>
    <t xml:space="preserve">Bằng chứng (link ảnh / video lỗi trên sản phẩm)</t>
  </si>
  <si>
    <t xml:space="preserve">File chứa lỗi</t>
  </si>
  <si>
    <t xml:space="preserve">Ghi chú</t>
  </si>
  <si>
    <t xml:space="preserve">SEED-01</t>
  </si>
  <si>
    <t xml:space="preserve">Major</t>
  </si>
  <si>
    <t xml:space="preserve">FR-06 / FLOW-01</t>
  </si>
  <si>
    <t xml:space="preserve">Màn hình Đặt phòng (/booking); API POST /api/bookings</t>
  </si>
  <si>
    <t xml:space="preserve">FR-06: Ngày trả phải sau Ngày nhận, tối đa 30 đêm</t>
  </si>
  <si>
    <t xml:space="preserve">Hệ thống cho đặt phòng khi Ngày trả = Ngày nhận (0 đêm), tạo đơn giá 0đ</t>
  </si>
  <si>
    <t xml:space="preserve">1. Đăng nhập member01
2. Chọn phòng P101
3. Nhập Ngày nhận = Ngày trả = 10/10/2026
4. Bấm Đặt phòng</t>
  </si>
  <si>
    <t xml:space="preserve">Báo lỗi "Ngày trả phải sau ngày nhận", không tạo đơn</t>
  </si>
  <si>
    <t xml:space="preserve">Tạo đơn BK-20261010-0001, tổng tiền 0đ</t>
  </si>
  <si>
    <t xml:space="preserve">drive.google.com/…/seed01.mp4</t>
  </si>
  <si>
    <t xml:space="preserve">src/booking/validate.js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</si>
</sst>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5C"/>
      <name val="Times New Roman"/>
      <family val="0"/>
      <charset val="1"/>
    </font>
    <font>
      <i val="true"/>
      <sz val="12"/>
      <color rgb="FF595959"/>
      <name val="Times New Roman"/>
      <family val="0"/>
      <charset val="1"/>
    </font>
    <font>
      <b val="true"/>
      <sz val="12"/>
      <name val="Times New Roman"/>
      <family val="0"/>
      <charset val="1"/>
    </font>
    <font>
      <sz val="12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i val="true"/>
      <sz val="12"/>
      <color rgb="FF7F7F7F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1F8"/>
        <bgColor rgb="FFFFF8E1"/>
      </patternFill>
    </fill>
    <fill>
      <patternFill patternType="solid">
        <fgColor rgb="FFFFF8E1"/>
        <bgColor rgb="FFFFFFFF"/>
      </patternFill>
    </fill>
    <fill>
      <patternFill patternType="solid">
        <fgColor rgb="FF1F2A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Times New Roman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Times New Roman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8E1"/>
      <rgbColor rgb="FFEE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2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14.9"/>
    <col collapsed="false" customWidth="true" hidden="false" outlineLevel="0" max="3" min="3" style="0" width="13.8"/>
    <col collapsed="false" customWidth="true" hidden="false" outlineLevel="0" max="4" min="4" style="0" width="16.1"/>
    <col collapsed="false" customWidth="true" hidden="false" outlineLevel="0" max="5" min="5" style="0" width="27.61"/>
    <col collapsed="false" customWidth="true" hidden="false" outlineLevel="0" max="6" min="6" style="0" width="34.51"/>
    <col collapsed="false" customWidth="true" hidden="false" outlineLevel="0" max="7" min="7" style="0" width="32"/>
    <col collapsed="false" customWidth="true" hidden="false" outlineLevel="0" max="8" min="8" style="0" width="41.4"/>
    <col collapsed="false" customWidth="true" hidden="false" outlineLevel="0" max="10" min="9" style="0" width="32.2"/>
    <col collapsed="false" customWidth="true" hidden="false" outlineLevel="0" max="11" min="11" style="0" width="23"/>
    <col collapsed="false" customWidth="true" hidden="false" outlineLevel="0" max="12" min="12" style="0" width="27.61"/>
    <col collapsed="false" customWidth="true" hidden="false" outlineLevel="0" max="13" min="13" style="0" width="20.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/>
      <c r="D4" s="4"/>
      <c r="E4" s="4"/>
      <c r="G4" s="5" t="s">
        <v>3</v>
      </c>
      <c r="H4" s="5" t="s">
        <v>4</v>
      </c>
      <c r="I4" s="5" t="s">
        <v>5</v>
      </c>
      <c r="J4" s="5" t="s">
        <v>6</v>
      </c>
    </row>
    <row r="5" customFormat="false" ht="15" hidden="false" customHeight="false" outlineLevel="0" collapsed="false">
      <c r="A5" s="3" t="s">
        <v>7</v>
      </c>
      <c r="B5" s="3"/>
      <c r="C5" s="4"/>
      <c r="D5" s="4"/>
      <c r="E5" s="4"/>
      <c r="G5" s="6" t="s">
        <v>8</v>
      </c>
      <c r="H5" s="7" t="n">
        <f aca="false">COUNTIF($B$16:$B$500,G5)</f>
        <v>1</v>
      </c>
      <c r="I5" s="7" t="n">
        <v>5</v>
      </c>
      <c r="J5" s="8" t="str">
        <f aca="false">IF(H5&gt;=I5,"Đạt","Chưa đạt")</f>
        <v>Chưa đạt</v>
      </c>
    </row>
    <row r="6" customFormat="false" ht="15" hidden="false" customHeight="false" outlineLevel="0" collapsed="false">
      <c r="A6" s="3" t="s">
        <v>9</v>
      </c>
      <c r="B6" s="3"/>
      <c r="C6" s="4"/>
      <c r="D6" s="4"/>
      <c r="E6" s="4"/>
      <c r="G6" s="6" t="s">
        <v>10</v>
      </c>
      <c r="H6" s="7" t="n">
        <f aca="false">COUNTIF($B$16:$B$500,G6)</f>
        <v>0</v>
      </c>
      <c r="I6" s="7" t="n">
        <v>3</v>
      </c>
      <c r="J6" s="8" t="str">
        <f aca="false">IF(H6&gt;=I6,"Đạt","Chưa đạt")</f>
        <v>Chưa đạt</v>
      </c>
    </row>
    <row r="7" customFormat="false" ht="15" hidden="false" customHeight="false" outlineLevel="0" collapsed="false">
      <c r="A7" s="3" t="s">
        <v>11</v>
      </c>
      <c r="B7" s="3"/>
      <c r="C7" s="4"/>
      <c r="D7" s="4"/>
      <c r="E7" s="4"/>
      <c r="G7" s="6" t="s">
        <v>12</v>
      </c>
      <c r="H7" s="7" t="n">
        <f aca="false">COUNTIF($B$16:$B$500,G7)</f>
        <v>0</v>
      </c>
      <c r="I7" s="7" t="n">
        <v>3</v>
      </c>
      <c r="J7" s="8" t="str">
        <f aca="false">IF(H7&gt;=I7,"Đạt","Chưa đạt")</f>
        <v>Chưa đạt</v>
      </c>
    </row>
    <row r="8" customFormat="false" ht="15" hidden="false" customHeight="false" outlineLevel="0" collapsed="false">
      <c r="A8" s="3" t="s">
        <v>13</v>
      </c>
      <c r="B8" s="3"/>
      <c r="C8" s="4"/>
      <c r="D8" s="4"/>
      <c r="E8" s="4"/>
      <c r="G8" s="6" t="s">
        <v>14</v>
      </c>
      <c r="H8" s="7" t="n">
        <f aca="false">COUNTIF($B$16:$B$500,G8)</f>
        <v>0</v>
      </c>
      <c r="I8" s="7" t="n">
        <v>2</v>
      </c>
      <c r="J8" s="8" t="str">
        <f aca="false">IF(H8&gt;=I8,"Đạt","Chưa đạt")</f>
        <v>Chưa đạt</v>
      </c>
    </row>
    <row r="9" customFormat="false" ht="15" hidden="false" customHeight="false" outlineLevel="0" collapsed="false">
      <c r="A9" s="3" t="s">
        <v>15</v>
      </c>
      <c r="B9" s="3"/>
      <c r="C9" s="4"/>
      <c r="D9" s="4"/>
      <c r="E9" s="4"/>
      <c r="G9" s="6" t="s">
        <v>16</v>
      </c>
      <c r="H9" s="7" t="n">
        <f aca="false">COUNTIF($B$16:$B$500,G9)</f>
        <v>0</v>
      </c>
      <c r="I9" s="7" t="n">
        <v>2</v>
      </c>
      <c r="J9" s="8" t="str">
        <f aca="false">IF(H9&gt;=I9,"Đạt","Chưa đạt")</f>
        <v>Chưa đạt</v>
      </c>
    </row>
    <row r="10" customFormat="false" ht="15" hidden="false" customHeight="false" outlineLevel="0" collapsed="false">
      <c r="G10" s="6" t="s">
        <v>17</v>
      </c>
      <c r="H10" s="7" t="n">
        <f aca="false">COUNTA($A$16:$A$500)</f>
        <v>1</v>
      </c>
      <c r="I10" s="7" t="n">
        <v>15</v>
      </c>
      <c r="J10" s="8" t="str">
        <f aca="false">IF(H10&gt;=I10,"Đạt","Chưa đạt")</f>
        <v>Chưa đạt</v>
      </c>
    </row>
    <row r="11" customFormat="false" ht="15" hidden="false" customHeight="false" outlineLevel="0" collapsed="false">
      <c r="G11" s="6" t="s">
        <v>18</v>
      </c>
      <c r="H11" s="7" t="n">
        <f aca="false">COUNTIF($C$16:$C$500,"Critical")+COUNTIF($C$16:$C$500,"Major")</f>
        <v>1</v>
      </c>
      <c r="I11" s="7" t="n">
        <v>3</v>
      </c>
      <c r="J11" s="8" t="str">
        <f aca="false">IF(H11&gt;=I11,"Đạt","Chưa đạt")</f>
        <v>Chưa đạt</v>
      </c>
    </row>
    <row r="12" customFormat="false" ht="15" hidden="false" customHeight="false" outlineLevel="0" collapsed="false">
      <c r="G12" s="2" t="s">
        <v>19</v>
      </c>
    </row>
    <row r="13" customFormat="false" ht="15" hidden="false" customHeight="false" outlineLevel="0" collapsed="false">
      <c r="A13" s="2" t="s">
        <v>20</v>
      </c>
    </row>
    <row r="15" customFormat="false" ht="31.5" hidden="false" customHeight="true" outlineLevel="0" collapsed="false">
      <c r="A15" s="5" t="s">
        <v>21</v>
      </c>
      <c r="B15" s="5" t="s">
        <v>22</v>
      </c>
      <c r="C15" s="5" t="s">
        <v>23</v>
      </c>
      <c r="D15" s="5" t="s">
        <v>24</v>
      </c>
      <c r="E15" s="5" t="s">
        <v>25</v>
      </c>
      <c r="F15" s="5" t="s">
        <v>26</v>
      </c>
      <c r="G15" s="5" t="s">
        <v>27</v>
      </c>
      <c r="H15" s="5" t="s">
        <v>28</v>
      </c>
      <c r="I15" s="5" t="s">
        <v>29</v>
      </c>
      <c r="J15" s="5" t="s">
        <v>30</v>
      </c>
      <c r="K15" s="5" t="s">
        <v>31</v>
      </c>
      <c r="L15" s="5" t="s">
        <v>32</v>
      </c>
      <c r="M15" s="5" t="s">
        <v>33</v>
      </c>
    </row>
    <row r="16" customFormat="false" ht="52.2" hidden="false" customHeight="false" outlineLevel="0" collapsed="false">
      <c r="A16" s="9" t="s">
        <v>34</v>
      </c>
      <c r="B16" s="9" t="s">
        <v>8</v>
      </c>
      <c r="C16" s="9" t="s">
        <v>35</v>
      </c>
      <c r="D16" s="9" t="s">
        <v>36</v>
      </c>
      <c r="E16" s="9" t="s">
        <v>37</v>
      </c>
      <c r="F16" s="9" t="s">
        <v>38</v>
      </c>
      <c r="G16" s="9" t="s">
        <v>39</v>
      </c>
      <c r="H16" s="9" t="s">
        <v>40</v>
      </c>
      <c r="I16" s="9" t="s">
        <v>41</v>
      </c>
      <c r="J16" s="9" t="s">
        <v>42</v>
      </c>
      <c r="K16" s="9" t="s">
        <v>43</v>
      </c>
      <c r="L16" s="9" t="s">
        <v>44</v>
      </c>
      <c r="M16" s="9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</sheetData>
  <mergeCells count="12"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</mergeCells>
  <conditionalFormatting sqref="J5:J11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"Chưa đạt"</formula>
    </cfRule>
  </conditionalFormatting>
  <dataValidations count="2">
    <dataValidation allowBlank="true" error="Chọn giá trị trong danh sách" errorStyle="stop" errorTitle="Giá trị không hợp lệ" operator="between" showDropDown="false" showErrorMessage="false" showInputMessage="false" sqref="B16:B500" type="list">
      <formula1>"Functional,Visual,Content,Performance,Crash"</formula1>
      <formula2>0</formula2>
    </dataValidation>
    <dataValidation allowBlank="true" error="Chọn giá trị trong danh sách" errorStyle="stop" errorTitle="Giá trị không hợp lệ" operator="between" showDropDown="false" showErrorMessage="false" showInputMessage="false" sqref="C16:C500" type="list">
      <formula1>"Critical,Major,Minor,Trivial"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2026-09-24T06:47:30Z</dcterms:created>
  <dc:creator>openpyxl</dc:creator>
  <dc:description/>
  <dc:language>en-US</dc:language>
  <cp:lastModifiedBy/>
  <dcterms:modified xsi:type="dcterms:W3CDTF">2026-09-24T06:47:30Z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