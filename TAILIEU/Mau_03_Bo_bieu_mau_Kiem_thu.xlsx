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hong_tin" sheetId="1" state="visible" r:id="rId3"/>
    <sheet name="Review_SRS" sheetId="2" state="visible" r:id="rId4"/>
    <sheet name="TC_Chuc_nang" sheetId="3" state="visible" r:id="rId5"/>
    <sheet name="TC_Phi_chuc_nang" sheetId="4" state="visible" r:id="rId6"/>
    <sheet name="Test_Log" sheetId="5" state="visible" r:id="rId7"/>
    <sheet name="Bug_Report" sheetId="6" state="visible" r:id="rId8"/>
    <sheet name="Tong_hop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<sst xmlns="http://schemas.openxmlformats.org/spreadsheetml/2006/main" count="210" uniqueCount="174">
  <si>
    <t xml:space="preserve">BỘ BIỂU MẪU KIỂM THỬ – VAI TESTER</t>
  </si>
  <si>
    <t xml:space="preserve">Học phần Đánh giá hiệu năng · Dùng cho hệ thống của bạn cặp</t>
  </si>
  <si>
    <t xml:space="preserve">Tester – Họ và tên</t>
  </si>
  <si>
    <t xml:space="preserve">Tester – MSSV</t>
  </si>
  <si>
    <t xml:space="preserve">Hệ thống được kiểm thử</t>
  </si>
  <si>
    <t xml:space="preserve">Chủ hệ thống – Họ tên, MSSV</t>
  </si>
  <si>
    <t xml:space="preserve">Link sản phẩm</t>
  </si>
  <si>
    <t xml:space="preserve">Phiên bản SRS dùng làm căn cứ</t>
  </si>
  <si>
    <t xml:space="preserve">Thời gian kiểm thử (từ – đến)</t>
  </si>
  <si>
    <t xml:space="preserve">CÁC SHEET TRONG FILE</t>
  </si>
  <si>
    <t xml:space="preserve">Review_SRS</t>
  </si>
  <si>
    <t xml:space="preserve">Phiếu review SRS (tuần 5). Chủ hệ thống điền 2 cột phản hồi cuối.</t>
  </si>
  <si>
    <t xml:space="preserve">TC_Chuc_nang</t>
  </si>
  <si>
    <t xml:space="preserve">Test case chức năng, luồng E2E và phân quyền. Tối thiểu 60 case, phủ hết chức năng và 3 luồng.</t>
  </si>
  <si>
    <t xml:space="preserve">TC_Phi_chuc_nang</t>
  </si>
  <si>
    <t xml:space="preserve">Test case phi chức năng. Tối thiểu 10 case, phủ hết NFR trong SRS.</t>
  </si>
  <si>
    <t xml:space="preserve">Test_Log</t>
  </si>
  <si>
    <t xml:space="preserve">Nhật ký mỗi phiên thực thi: thời gian, môi trường, phạm vi đã chạy, kết quả.</t>
  </si>
  <si>
    <t xml:space="preserve">Bug_Report</t>
  </si>
  <si>
    <t xml:space="preserve">Danh sách lỗi. Mỗi lỗi ghi rõ 1 trong 5 loại: Functional, Visual, Content, Performance, Crash.</t>
  </si>
  <si>
    <t xml:space="preserve">Tong_hop</t>
  </si>
  <si>
    <t xml:space="preserve">Tự tính số liệu để đưa vào Test Summary Report. Không cần điền.</t>
  </si>
  <si>
    <t xml:space="preserve">Chú thích: ô nền vàng nhạt = sinh viên điền; dòng chữ xám nghiêng ở đầu mỗi bảng = VÍ DỤ, ghi đè hoặc xoá khi làm; cột có mũi tên = chọn từ danh sách.</t>
  </si>
  <si>
    <t xml:space="preserve">PHIẾU REVIEW SRS</t>
  </si>
  <si>
    <t xml:space="preserve">Tester kiểm tra từng yêu cầu: rõ ràng? kiểm thử được? đầy đủ? nhất quán? Chủ hệ thống điền 2 cột cuối rồi cập nhật SRS.</t>
  </si>
  <si>
    <t xml:space="preserve">Chú thích:  ô nền vàng nhạt = sinh viên điền;  dòng chữ xám nghiêng = VÍ DỤ, ghi đè hoặc xoá khi làm;  cột có mũi tên = chọn từ danh sách.</t>
  </si>
  <si>
    <t xml:space="preserve">STT</t>
  </si>
  <si>
    <t xml:space="preserve">Vị trí trong SRS (mục / mã yêu cầu)</t>
  </si>
  <si>
    <t xml:space="preserve">Nội dung trích từ SRS</t>
  </si>
  <si>
    <t xml:space="preserve">Vấn đề phát hiện</t>
  </si>
  <si>
    <t xml:space="preserve">Loại vấn đề</t>
  </si>
  <si>
    <t xml:space="preserve">Mức độ</t>
  </si>
  <si>
    <t xml:space="preserve">Đề xuất sửa</t>
  </si>
  <si>
    <t xml:space="preserve">Phản hồi của chủ hệ thống</t>
  </si>
  <si>
    <t xml:space="preserve">Lý do / cách đã sửa</t>
  </si>
  <si>
    <t xml:space="preserve">FR-03 – trường Mật khẩu</t>
  </si>
  <si>
    <t xml:space="preserve">"Mật khẩu phải đủ mạnh"</t>
  </si>
  <si>
    <t xml:space="preserve">Không có tiêu chí cụ thể nên không viết được test case giá trị biên</t>
  </si>
  <si>
    <t xml:space="preserve">Không kiểm thử được</t>
  </si>
  <si>
    <t xml:space="preserve">Cao</t>
  </si>
  <si>
    <t xml:space="preserve">Ghi rõ: 8–32 ký tự, có ít nhất 1 chữ hoa, 1 chữ thường, 1 chữ số</t>
  </si>
  <si>
    <t xml:space="preserve">Chấp nhận</t>
  </si>
  <si>
    <t xml:space="preserve">Đã sửa ở SRS v1.1, mục 4.3</t>
  </si>
  <si>
    <t xml:space="preserve">TEST CASE CHỨC NĂNG</t>
  </si>
  <si>
    <t xml:space="preserve">Quy ước mã: TC-FRxx-nnn (chức năng) · TC-FLOWxx-nnn (luồng E2E) · TC-AUTHZ-nnn (phân quyền). Mỗi chức năng ≥ 3 case.</t>
  </si>
  <si>
    <t xml:space="preserve">TC ID</t>
  </si>
  <si>
    <t xml:space="preserve">Chức năng / Luồng</t>
  </si>
  <si>
    <t xml:space="preserve">Kỹ thuật thiết kế</t>
  </si>
  <si>
    <t xml:space="preserve">Tiêu đề</t>
  </si>
  <si>
    <t xml:space="preserve">Tiền điều kiện</t>
  </si>
  <si>
    <t xml:space="preserve">Dữ liệu thử</t>
  </si>
  <si>
    <t xml:space="preserve">Các bước thực hiện</t>
  </si>
  <si>
    <t xml:space="preserve">Kết quả mong đợi</t>
  </si>
  <si>
    <t xml:space="preserve">Độ ưu tiên</t>
  </si>
  <si>
    <t xml:space="preserve">Kết quả</t>
  </si>
  <si>
    <t xml:space="preserve">Kết quả thực tế (khi Fail)</t>
  </si>
  <si>
    <t xml:space="preserve">Bug ID</t>
  </si>
  <si>
    <t xml:space="preserve">Ghi chú</t>
  </si>
  <si>
    <t xml:space="preserve">TC-FR06-004</t>
  </si>
  <si>
    <t xml:space="preserve">FR-06</t>
  </si>
  <si>
    <t xml:space="preserve">Giá trị biên (BVA)</t>
  </si>
  <si>
    <t xml:space="preserve">Đặt phòng với số khách = 11 (vượt biên trên)</t>
  </si>
  <si>
    <t xml:space="preserve">Đã đăng nhập vai Thành viên; phòng P101 còn trống</t>
  </si>
  <si>
    <t xml:space="preserve">Số khách = 11</t>
  </si>
  <si>
    <t xml:space="preserve">1. Mở trang Đặt phòng P101
2. Nhập Số khách = 11
3. Bấm Đặt phòng</t>
  </si>
  <si>
    <t xml:space="preserve">Hiển thị "Số khách từ 1 đến 10", không tạo đơn</t>
  </si>
  <si>
    <t xml:space="preserve">High</t>
  </si>
  <si>
    <t xml:space="preserve">Fail</t>
  </si>
  <si>
    <t xml:space="preserve">Tạo đơn thành công với 11 khách</t>
  </si>
  <si>
    <t xml:space="preserve">BUG-007</t>
  </si>
  <si>
    <t xml:space="preserve">TEST CASE PHI CHỨC NĂNG</t>
  </si>
  <si>
    <t xml:space="preserve">Quy ước mã: TC-NFRxx-nnn. Mỗi NFR trong SRS có ít nhất 1 case. Ngưỡng đạt lấy đúng theo SRS.</t>
  </si>
  <si>
    <t xml:space="preserve">Mã NFR</t>
  </si>
  <si>
    <t xml:space="preserve">Nhóm</t>
  </si>
  <si>
    <t xml:space="preserve">Công cụ / phương pháp</t>
  </si>
  <si>
    <t xml:space="preserve">Điều kiện / môi trường</t>
  </si>
  <si>
    <t xml:space="preserve">Ngưỡng đạt (theo SRS)</t>
  </si>
  <si>
    <t xml:space="preserve">Giá trị đo được</t>
  </si>
  <si>
    <t xml:space="preserve">TC-NFR01-001</t>
  </si>
  <si>
    <t xml:space="preserve">NFR-01</t>
  </si>
  <si>
    <t xml:space="preserve">Hiệu năng</t>
  </si>
  <si>
    <t xml:space="preserve">Thời gian phản hồi FLOW-01 với 20 người dùng đồng thời</t>
  </si>
  <si>
    <t xml:space="preserve">JMeter (non-GUI)</t>
  </si>
  <si>
    <t xml:space="preserve">Server được cấp; 20 thread, ramp-up 60 s, chạy 5 phút</t>
  </si>
  <si>
    <t xml:space="preserve">1. Chạy plan.jmx với 20 thread
2. Sinh HTML dashboard
3. Đọc P90 và tỉ lệ lỗi</t>
  </si>
  <si>
    <t xml:space="preserve">P90 ≤ 2 s; tỉ lệ lỗi &lt; 1%</t>
  </si>
  <si>
    <t xml:space="preserve">P90 = 3,4 s; lỗi 0,2%</t>
  </si>
  <si>
    <t xml:space="preserve">BUG-015</t>
  </si>
  <si>
    <t xml:space="preserve">NHẬT KÝ THỰC THI KIỂM THỬ (TEST LOG)</t>
  </si>
  <si>
    <t xml:space="preserve">Mỗi phiên chạy test ghi 1 dòng. Ghi cả sự cố môi trường (link không truy cập được, dữ liệu bị reset…).</t>
  </si>
  <si>
    <t xml:space="preserve">Ngày</t>
  </si>
  <si>
    <t xml:space="preserve">Giờ (bắt đầu – kết thúc)</t>
  </si>
  <si>
    <t xml:space="preserve">Link / phiên bản</t>
  </si>
  <si>
    <t xml:space="preserve">Trình duyệt / thiết bị</t>
  </si>
  <si>
    <t xml:space="preserve">Phạm vi đã chạy (TC ID)</t>
  </si>
  <si>
    <t xml:space="preserve">Số TC chạy</t>
  </si>
  <si>
    <t xml:space="preserve">Pass</t>
  </si>
  <si>
    <t xml:space="preserve">Blocked</t>
  </si>
  <si>
    <t xml:space="preserve">Bug mới (ID)</t>
  </si>
  <si>
    <t xml:space="preserve">Sự cố / ghi chú</t>
  </si>
  <si>
    <t xml:space="preserve">12/10/2026</t>
  </si>
  <si>
    <t xml:space="preserve">19:00 – 21:30</t>
  </si>
  <si>
    <t xml:space="preserve">https://sv123.demo.edu.vn</t>
  </si>
  <si>
    <t xml:space="preserve">Chrome 129 / Windows 11</t>
  </si>
  <si>
    <t xml:space="preserve">TC-FR01-001 → TC-FR06-010</t>
  </si>
  <si>
    <t xml:space="preserve">BUG-001 → BUG-006</t>
  </si>
  <si>
    <t xml:space="preserve">TC-FR05-003 bị chặn do trang thanh toán trả lỗi 500 (BUG-004)</t>
  </si>
  <si>
    <t xml:space="preserve">DANH SÁCH BUG REPORT</t>
  </si>
  <si>
    <t xml:space="preserve">Mỗi lỗi có bằng chứng (link ảnh / video) và ghi rõ yêu cầu SRS bị vi phạm. Chủ hệ thống điền 2 cột cuối.</t>
  </si>
  <si>
    <t xml:space="preserve">Loại lỗi</t>
  </si>
  <si>
    <t xml:space="preserve">Mức nghiêm trọng</t>
  </si>
  <si>
    <t xml:space="preserve">Mức ưu tiên</t>
  </si>
  <si>
    <t xml:space="preserve">Chức năng / NFR</t>
  </si>
  <si>
    <t xml:space="preserve">TC liên quan</t>
  </si>
  <si>
    <t xml:space="preserve">URL / màn hình</t>
  </si>
  <si>
    <t xml:space="preserve">Các bước tái hiện</t>
  </si>
  <si>
    <t xml:space="preserve">Kết quả thực tế</t>
  </si>
  <si>
    <t xml:space="preserve">Kết quả mong đợi (trích SRS)</t>
  </si>
  <si>
    <t xml:space="preserve">Bằng chứng (link)</t>
  </si>
  <si>
    <t xml:space="preserve">Ngày phát hiện</t>
  </si>
  <si>
    <t xml:space="preserve">Trạng thái</t>
  </si>
  <si>
    <t xml:space="preserve">Đặt phòng thành công với số khách = 11, vượt giới hạn 10</t>
  </si>
  <si>
    <t xml:space="preserve">Functional</t>
  </si>
  <si>
    <t xml:space="preserve">Major</t>
  </si>
  <si>
    <t xml:space="preserve">/booking/P101</t>
  </si>
  <si>
    <t xml:space="preserve">Đăng nhập member01; phòng P101 còn trống</t>
  </si>
  <si>
    <t xml:space="preserve">1. Mở /booking/P101
2. Nhập Số khách = 11
3. Bấm Đặt phòng</t>
  </si>
  <si>
    <t xml:space="preserve">Tạo đơn BK-20261012-0003 với 11 khách</t>
  </si>
  <si>
    <t xml:space="preserve">FR-06: "Số khách là số nguyên từ 1 đến 10"; báo lỗi và không tạo đơn</t>
  </si>
  <si>
    <t xml:space="preserve">drive.google.com/…/bug007.png</t>
  </si>
  <si>
    <t xml:space="preserve">Mới</t>
  </si>
  <si>
    <t xml:space="preserve">TỔNG HỢP SỐ LIỆU (TỰ ĐỘNG)</t>
  </si>
  <si>
    <t xml:space="preserve">Không cần điền. Dùng các số liệu này cho Test Summary Report.</t>
  </si>
  <si>
    <t xml:space="preserve">1. Kiểm tra số lượng tối thiểu</t>
  </si>
  <si>
    <t xml:space="preserve">Hiện có</t>
  </si>
  <si>
    <t xml:space="preserve">Tối thiểu</t>
  </si>
  <si>
    <t xml:space="preserve">Test case chức năng</t>
  </si>
  <si>
    <t xml:space="preserve">Test case phi chức năng</t>
  </si>
  <si>
    <t xml:space="preserve">Test case luồng E2E (Use case / E2E)</t>
  </si>
  <si>
    <t xml:space="preserve">Số kỹ thuật thiết kế đã dùng</t>
  </si>
  <si>
    <t xml:space="preserve">Ghi chú: dòng ví dụ ở đầu mỗi sheet cũng được đếm, hãy ghi đè hoặc xoá trước khi nộp.</t>
  </si>
  <si>
    <t xml:space="preserve">2. Kết quả thực thi</t>
  </si>
  <si>
    <t xml:space="preserve">Chức năng</t>
  </si>
  <si>
    <t xml:space="preserve">Phi chức năng</t>
  </si>
  <si>
    <t xml:space="preserve">Tổng</t>
  </si>
  <si>
    <t xml:space="preserve">Tổng số test case</t>
  </si>
  <si>
    <t xml:space="preserve">Chưa chạy</t>
  </si>
  <si>
    <t xml:space="preserve">Đã thực thi</t>
  </si>
  <si>
    <t xml:space="preserve">Tỉ lệ Pass / đã thực thi</t>
  </si>
  <si>
    <t xml:space="preserve">3. Bug theo loại lỗi</t>
  </si>
  <si>
    <t xml:space="preserve">Critical</t>
  </si>
  <si>
    <t xml:space="preserve">Minor</t>
  </si>
  <si>
    <t xml:space="preserve">Trivial</t>
  </si>
  <si>
    <t xml:space="preserve">Visual</t>
  </si>
  <si>
    <t xml:space="preserve">Content</t>
  </si>
  <si>
    <t xml:space="preserve">Performance</t>
  </si>
  <si>
    <t xml:space="preserve">Crash</t>
  </si>
  <si>
    <t xml:space="preserve">4. Bug theo trạng thái phản hồi</t>
  </si>
  <si>
    <t xml:space="preserve">Số lượng</t>
  </si>
  <si>
    <t xml:space="preserve">Đã xác nhận</t>
  </si>
  <si>
    <t xml:space="preserve">Bị từ chối</t>
  </si>
  <si>
    <t xml:space="preserve">Trùng lặp</t>
  </si>
  <si>
    <t xml:space="preserve">Cần thêm thông tin</t>
  </si>
  <si>
    <t xml:space="preserve">5. Test case theo kỹ thuật</t>
  </si>
  <si>
    <t xml:space="preserve">Phân hoạch tương đương (EP)</t>
  </si>
  <si>
    <t xml:space="preserve">Bảng quyết định</t>
  </si>
  <si>
    <t xml:space="preserve">Chuyển trạng thái</t>
  </si>
  <si>
    <t xml:space="preserve">Use case / E2E</t>
  </si>
  <si>
    <t xml:space="preserve">Phân quyền</t>
  </si>
  <si>
    <t xml:space="preserve">Error guessing / Checklist</t>
  </si>
  <si>
    <t xml:space="preserve">Exploratory</t>
  </si>
  <si>
    <t xml:space="preserve">6. Review SRS</t>
  </si>
  <si>
    <t xml:space="preserve">Tổng số vấn đề đã nêu</t>
  </si>
  <si>
    <t xml:space="preserve">Được chủ hệ thống chấp nhận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</si>
</sst>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General"/>
    <numFmt numFmtId="166" formatCode="0.0%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2A5C"/>
      <name val="Times New Roman"/>
      <family val="0"/>
      <charset val="1"/>
    </font>
    <font>
      <i val="true"/>
      <sz val="12"/>
      <color rgb="FF595959"/>
      <name val="Times New Roman"/>
      <family val="0"/>
      <charset val="1"/>
    </font>
    <font>
      <b val="true"/>
      <sz val="12"/>
      <name val="Times New Roman"/>
      <family val="0"/>
      <charset val="1"/>
    </font>
    <font>
      <sz val="12"/>
      <name val="Times New Roman"/>
      <family val="0"/>
      <charset val="1"/>
    </font>
    <font>
      <b val="true"/>
      <sz val="12"/>
      <color rgb="FFFFFFFF"/>
      <name val="Times New Roman"/>
      <family val="0"/>
      <charset val="1"/>
    </font>
    <font>
      <i val="true"/>
      <sz val="12"/>
      <color rgb="FF7F7F7F"/>
      <name val="Times New Roman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EEF1F8"/>
        <bgColor rgb="FFFFF8E1"/>
      </patternFill>
    </fill>
    <fill>
      <patternFill patternType="solid">
        <fgColor rgb="FFFFF8E1"/>
        <bgColor rgb="FFFFFFFF"/>
      </patternFill>
    </fill>
    <fill>
      <patternFill patternType="solid">
        <fgColor rgb="FF1F2A5C"/>
        <bgColor rgb="FF333333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 diagonalUp="false" diagonalDown="false">
      <left style="thin">
        <color rgb="FFBFBFBF"/>
      </left>
      <right/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6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ont>
        <name val="Times New Roman"/>
        <charset val="1"/>
        <family val="0"/>
        <b val="1"/>
        <color rgb="FF006100"/>
      </font>
      <fill>
        <patternFill>
          <bgColor rgb="FFC6EFCE"/>
        </patternFill>
      </fill>
    </dxf>
    <dxf>
      <font>
        <name val="Times New Roman"/>
        <charset val="1"/>
        <family val="0"/>
        <b val="1"/>
        <color rgb="FF9C0006"/>
      </font>
      <fill>
        <patternFill>
          <bgColor rgb="FFFFC7CE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6100"/>
      <rgbColor rgb="FF000080"/>
      <rgbColor rgb="FF808000"/>
      <rgbColor rgb="FF800080"/>
      <rgbColor rgb="FF008080"/>
      <rgbColor rgb="FFBFBFBF"/>
      <rgbColor rgb="FF7F7F7F"/>
      <rgbColor rgb="FF9999FF"/>
      <rgbColor rgb="FF993366"/>
      <rgbColor rgb="FFFFF8E1"/>
      <rgbColor rgb="FFEEF1F8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FF99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2A5C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D20"/>
  <sheetViews>
    <sheetView showFormulas="false" showGridLines="true" showRowColHeaders="true" showZeros="true" rightToLeft="false" tabSelected="true" showOutlineSymbols="true" defaultGridColor="true" view="normal" topLeftCell="A1" colorId="64" zoomScale="90" zoomScaleNormal="9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4" min="2" style="0" width="26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  <c r="B4" s="4"/>
      <c r="C4" s="4"/>
      <c r="D4" s="4"/>
    </row>
    <row r="5" customFormat="false" ht="15" hidden="false" customHeight="false" outlineLevel="0" collapsed="false">
      <c r="A5" s="3" t="s">
        <v>3</v>
      </c>
      <c r="B5" s="4"/>
      <c r="C5" s="4"/>
      <c r="D5" s="4"/>
    </row>
    <row r="6" customFormat="false" ht="15" hidden="false" customHeight="false" outlineLevel="0" collapsed="false">
      <c r="A6" s="3" t="s">
        <v>4</v>
      </c>
      <c r="B6" s="4"/>
      <c r="C6" s="4"/>
      <c r="D6" s="4"/>
    </row>
    <row r="7" customFormat="false" ht="15" hidden="false" customHeight="false" outlineLevel="0" collapsed="false">
      <c r="A7" s="3" t="s">
        <v>5</v>
      </c>
      <c r="B7" s="4"/>
      <c r="C7" s="4"/>
      <c r="D7" s="4"/>
    </row>
    <row r="8" customFormat="false" ht="15" hidden="false" customHeight="false" outlineLevel="0" collapsed="false">
      <c r="A8" s="3" t="s">
        <v>6</v>
      </c>
      <c r="B8" s="4"/>
      <c r="C8" s="4"/>
      <c r="D8" s="4"/>
    </row>
    <row r="9" customFormat="false" ht="15" hidden="false" customHeight="false" outlineLevel="0" collapsed="false">
      <c r="A9" s="3" t="s">
        <v>7</v>
      </c>
      <c r="B9" s="4"/>
      <c r="C9" s="4"/>
      <c r="D9" s="4"/>
    </row>
    <row r="10" customFormat="false" ht="15" hidden="false" customHeight="false" outlineLevel="0" collapsed="false">
      <c r="A10" s="3" t="s">
        <v>8</v>
      </c>
      <c r="B10" s="4"/>
      <c r="C10" s="4"/>
      <c r="D10" s="4"/>
    </row>
    <row r="12" customFormat="false" ht="15" hidden="false" customHeight="false" outlineLevel="0" collapsed="false">
      <c r="A12" s="5" t="s">
        <v>9</v>
      </c>
    </row>
    <row r="13" customFormat="false" ht="30" hidden="false" customHeight="true" outlineLevel="0" collapsed="false">
      <c r="A13" s="3" t="s">
        <v>10</v>
      </c>
      <c r="B13" s="6" t="s">
        <v>11</v>
      </c>
      <c r="C13" s="6"/>
      <c r="D13" s="6"/>
    </row>
    <row r="14" customFormat="false" ht="30" hidden="false" customHeight="true" outlineLevel="0" collapsed="false">
      <c r="A14" s="3" t="s">
        <v>12</v>
      </c>
      <c r="B14" s="6" t="s">
        <v>13</v>
      </c>
      <c r="C14" s="6"/>
      <c r="D14" s="6"/>
    </row>
    <row r="15" customFormat="false" ht="30" hidden="false" customHeight="true" outlineLevel="0" collapsed="false">
      <c r="A15" s="3" t="s">
        <v>14</v>
      </c>
      <c r="B15" s="6" t="s">
        <v>15</v>
      </c>
      <c r="C15" s="6"/>
      <c r="D15" s="6"/>
    </row>
    <row r="16" customFormat="false" ht="30" hidden="false" customHeight="true" outlineLevel="0" collapsed="false">
      <c r="A16" s="3" t="s">
        <v>16</v>
      </c>
      <c r="B16" s="6" t="s">
        <v>17</v>
      </c>
      <c r="C16" s="6"/>
      <c r="D16" s="6"/>
    </row>
    <row r="17" customFormat="false" ht="30" hidden="false" customHeight="true" outlineLevel="0" collapsed="false">
      <c r="A17" s="3" t="s">
        <v>18</v>
      </c>
      <c r="B17" s="6" t="s">
        <v>19</v>
      </c>
      <c r="C17" s="6"/>
      <c r="D17" s="6"/>
    </row>
    <row r="18" customFormat="false" ht="30" hidden="false" customHeight="true" outlineLevel="0" collapsed="false">
      <c r="A18" s="3" t="s">
        <v>20</v>
      </c>
      <c r="B18" s="6" t="s">
        <v>21</v>
      </c>
      <c r="C18" s="6"/>
      <c r="D18" s="6"/>
    </row>
    <row r="20" customFormat="false" ht="15" hidden="false" customHeight="false" outlineLevel="0" collapsed="false">
      <c r="A20" s="2" t="s">
        <v>22</v>
      </c>
    </row>
  </sheetData>
  <mergeCells count="13">
    <mergeCell ref="B4:D4"/>
    <mergeCell ref="B5:D5"/>
    <mergeCell ref="B6:D6"/>
    <mergeCell ref="B7:D7"/>
    <mergeCell ref="B8:D8"/>
    <mergeCell ref="B9:D9"/>
    <mergeCell ref="B10:D10"/>
    <mergeCell ref="B13:D13"/>
    <mergeCell ref="B14:D14"/>
    <mergeCell ref="B15:D15"/>
    <mergeCell ref="B16:D16"/>
    <mergeCell ref="B17:D17"/>
    <mergeCell ref="B18:D1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I35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.9"/>
    <col collapsed="false" customWidth="true" hidden="false" outlineLevel="0" max="2" min="2" style="0" width="25.3"/>
    <col collapsed="false" customWidth="true" hidden="false" outlineLevel="0" max="3" min="3" style="0" width="36.8"/>
    <col collapsed="false" customWidth="true" hidden="false" outlineLevel="0" max="4" min="4" style="0" width="39.1"/>
    <col collapsed="false" customWidth="true" hidden="false" outlineLevel="0" max="5" min="5" style="0" width="20.7"/>
    <col collapsed="false" customWidth="true" hidden="false" outlineLevel="0" max="6" min="6" style="0" width="12.61"/>
    <col collapsed="false" customWidth="true" hidden="false" outlineLevel="0" max="7" min="7" style="0" width="36.8"/>
    <col collapsed="false" customWidth="true" hidden="false" outlineLevel="0" max="8" min="8" style="0" width="20.7"/>
    <col collapsed="false" customWidth="true" hidden="false" outlineLevel="0" max="9" min="9" style="0" width="34.51"/>
  </cols>
  <sheetData>
    <row r="1" customFormat="false" ht="17.35" hidden="false" customHeight="false" outlineLevel="0" collapsed="false">
      <c r="A1" s="1" t="s">
        <v>23</v>
      </c>
    </row>
    <row r="2" customFormat="false" ht="15" hidden="false" customHeight="false" outlineLevel="0" collapsed="false">
      <c r="A2" s="2" t="s">
        <v>24</v>
      </c>
    </row>
    <row r="3" customFormat="false" ht="15" hidden="false" customHeight="false" outlineLevel="0" collapsed="false">
      <c r="A3" s="2" t="s">
        <v>25</v>
      </c>
    </row>
    <row r="4" customFormat="false" ht="31.5" hidden="false" customHeight="true" outlineLevel="0" collapsed="false">
      <c r="A4" s="7" t="s">
        <v>26</v>
      </c>
      <c r="B4" s="7" t="s">
        <v>27</v>
      </c>
      <c r="C4" s="7" t="s">
        <v>28</v>
      </c>
      <c r="D4" s="7" t="s">
        <v>29</v>
      </c>
      <c r="E4" s="7" t="s">
        <v>30</v>
      </c>
      <c r="F4" s="7" t="s">
        <v>31</v>
      </c>
      <c r="G4" s="7" t="s">
        <v>32</v>
      </c>
      <c r="H4" s="7" t="s">
        <v>33</v>
      </c>
      <c r="I4" s="7" t="s">
        <v>34</v>
      </c>
    </row>
    <row r="5" customFormat="false" ht="26.85" hidden="false" customHeight="false" outlineLevel="0" collapsed="false">
      <c r="A5" s="8" t="n">
        <v>1</v>
      </c>
      <c r="B5" s="8" t="s">
        <v>35</v>
      </c>
      <c r="C5" s="8" t="s">
        <v>36</v>
      </c>
      <c r="D5" s="8" t="s">
        <v>37</v>
      </c>
      <c r="E5" s="8" t="s">
        <v>38</v>
      </c>
      <c r="F5" s="8" t="s">
        <v>39</v>
      </c>
      <c r="G5" s="8" t="s">
        <v>40</v>
      </c>
      <c r="H5" s="8" t="s">
        <v>41</v>
      </c>
      <c r="I5" s="8" t="s">
        <v>42</v>
      </c>
    </row>
    <row r="6" customFormat="false" ht="15" hidden="false" customHeight="false" outlineLevel="0" collapsed="false">
      <c r="A6" s="6"/>
      <c r="B6" s="6"/>
      <c r="C6" s="6"/>
      <c r="D6" s="6"/>
      <c r="E6" s="6"/>
      <c r="F6" s="6"/>
      <c r="G6" s="6"/>
      <c r="H6" s="6"/>
      <c r="I6" s="6"/>
    </row>
    <row r="7" customFormat="false" ht="15" hidden="false" customHeight="false" outlineLevel="0" collapsed="false">
      <c r="A7" s="6"/>
      <c r="B7" s="6"/>
      <c r="C7" s="6"/>
      <c r="D7" s="6"/>
      <c r="E7" s="6"/>
      <c r="F7" s="6"/>
      <c r="G7" s="6"/>
      <c r="H7" s="6"/>
      <c r="I7" s="6"/>
    </row>
    <row r="8" customFormat="false" ht="15" hidden="false" customHeight="false" outlineLevel="0" collapsed="false">
      <c r="A8" s="6"/>
      <c r="B8" s="6"/>
      <c r="C8" s="6"/>
      <c r="D8" s="6"/>
      <c r="E8" s="6"/>
      <c r="F8" s="6"/>
      <c r="G8" s="6"/>
      <c r="H8" s="6"/>
      <c r="I8" s="6"/>
    </row>
    <row r="9" customFormat="false" ht="15" hidden="false" customHeight="false" outlineLevel="0" collapsed="false">
      <c r="A9" s="6"/>
      <c r="B9" s="6"/>
      <c r="C9" s="6"/>
      <c r="D9" s="6"/>
      <c r="E9" s="6"/>
      <c r="F9" s="6"/>
      <c r="G9" s="6"/>
      <c r="H9" s="6"/>
      <c r="I9" s="6"/>
    </row>
    <row r="10" customFormat="false" ht="15" hidden="false" customHeight="false" outlineLevel="0" collapsed="false">
      <c r="A10" s="6"/>
      <c r="B10" s="6"/>
      <c r="C10" s="6"/>
      <c r="D10" s="6"/>
      <c r="E10" s="6"/>
      <c r="F10" s="6"/>
      <c r="G10" s="6"/>
      <c r="H10" s="6"/>
      <c r="I10" s="6"/>
    </row>
    <row r="11" customFormat="false" ht="15" hidden="false" customHeight="false" outlineLevel="0" collapsed="false">
      <c r="A11" s="6"/>
      <c r="B11" s="6"/>
      <c r="C11" s="6"/>
      <c r="D11" s="6"/>
      <c r="E11" s="6"/>
      <c r="F11" s="6"/>
      <c r="G11" s="6"/>
      <c r="H11" s="6"/>
      <c r="I11" s="6"/>
    </row>
    <row r="12" customFormat="false" ht="15" hidden="false" customHeight="false" outlineLevel="0" collapsed="false">
      <c r="A12" s="6"/>
      <c r="B12" s="6"/>
      <c r="C12" s="6"/>
      <c r="D12" s="6"/>
      <c r="E12" s="6"/>
      <c r="F12" s="6"/>
      <c r="G12" s="6"/>
      <c r="H12" s="6"/>
      <c r="I12" s="6"/>
    </row>
    <row r="13" customFormat="false" ht="15" hidden="false" customHeight="false" outlineLevel="0" collapsed="false">
      <c r="A13" s="6"/>
      <c r="B13" s="6"/>
      <c r="C13" s="6"/>
      <c r="D13" s="6"/>
      <c r="E13" s="6"/>
      <c r="F13" s="6"/>
      <c r="G13" s="6"/>
      <c r="H13" s="6"/>
      <c r="I13" s="6"/>
    </row>
    <row r="14" customFormat="false" ht="15" hidden="false" customHeight="false" outlineLevel="0" collapsed="false">
      <c r="A14" s="6"/>
      <c r="B14" s="6"/>
      <c r="C14" s="6"/>
      <c r="D14" s="6"/>
      <c r="E14" s="6"/>
      <c r="F14" s="6"/>
      <c r="G14" s="6"/>
      <c r="H14" s="6"/>
      <c r="I14" s="6"/>
    </row>
    <row r="15" customFormat="false" ht="15" hidden="false" customHeight="false" outlineLevel="0" collapsed="false">
      <c r="A15" s="6"/>
      <c r="B15" s="6"/>
      <c r="C15" s="6"/>
      <c r="D15" s="6"/>
      <c r="E15" s="6"/>
      <c r="F15" s="6"/>
      <c r="G15" s="6"/>
      <c r="H15" s="6"/>
      <c r="I15" s="6"/>
    </row>
    <row r="16" customFormat="false" ht="15" hidden="false" customHeight="false" outlineLevel="0" collapsed="false">
      <c r="A16" s="6"/>
      <c r="B16" s="6"/>
      <c r="C16" s="6"/>
      <c r="D16" s="6"/>
      <c r="E16" s="6"/>
      <c r="F16" s="6"/>
      <c r="G16" s="6"/>
      <c r="H16" s="6"/>
      <c r="I16" s="6"/>
    </row>
    <row r="17" customFormat="false" ht="15" hidden="false" customHeight="false" outlineLevel="0" collapsed="false">
      <c r="A17" s="6"/>
      <c r="B17" s="6"/>
      <c r="C17" s="6"/>
      <c r="D17" s="6"/>
      <c r="E17" s="6"/>
      <c r="F17" s="6"/>
      <c r="G17" s="6"/>
      <c r="H17" s="6"/>
      <c r="I17" s="6"/>
    </row>
    <row r="18" customFormat="false" ht="15" hidden="false" customHeight="false" outlineLevel="0" collapsed="false">
      <c r="A18" s="6"/>
      <c r="B18" s="6"/>
      <c r="C18" s="6"/>
      <c r="D18" s="6"/>
      <c r="E18" s="6"/>
      <c r="F18" s="6"/>
      <c r="G18" s="6"/>
      <c r="H18" s="6"/>
      <c r="I18" s="6"/>
    </row>
    <row r="19" customFormat="false" ht="15" hidden="false" customHeight="false" outlineLevel="0" collapsed="false">
      <c r="A19" s="6"/>
      <c r="B19" s="6"/>
      <c r="C19" s="6"/>
      <c r="D19" s="6"/>
      <c r="E19" s="6"/>
      <c r="F19" s="6"/>
      <c r="G19" s="6"/>
      <c r="H19" s="6"/>
      <c r="I19" s="6"/>
    </row>
    <row r="20" customFormat="false" ht="15" hidden="false" customHeight="false" outlineLevel="0" collapsed="false">
      <c r="A20" s="6"/>
      <c r="B20" s="6"/>
      <c r="C20" s="6"/>
      <c r="D20" s="6"/>
      <c r="E20" s="6"/>
      <c r="F20" s="6"/>
      <c r="G20" s="6"/>
      <c r="H20" s="6"/>
      <c r="I20" s="6"/>
    </row>
    <row r="21" customFormat="false" ht="15" hidden="false" customHeight="false" outlineLevel="0" collapsed="false">
      <c r="A21" s="6"/>
      <c r="B21" s="6"/>
      <c r="C21" s="6"/>
      <c r="D21" s="6"/>
      <c r="E21" s="6"/>
      <c r="F21" s="6"/>
      <c r="G21" s="6"/>
      <c r="H21" s="6"/>
      <c r="I21" s="6"/>
    </row>
    <row r="22" customFormat="false" ht="15" hidden="false" customHeight="false" outlineLevel="0" collapsed="false">
      <c r="A22" s="6"/>
      <c r="B22" s="6"/>
      <c r="C22" s="6"/>
      <c r="D22" s="6"/>
      <c r="E22" s="6"/>
      <c r="F22" s="6"/>
      <c r="G22" s="6"/>
      <c r="H22" s="6"/>
      <c r="I22" s="6"/>
    </row>
    <row r="23" customFormat="false" ht="15" hidden="false" customHeight="false" outlineLevel="0" collapsed="false">
      <c r="A23" s="6"/>
      <c r="B23" s="6"/>
      <c r="C23" s="6"/>
      <c r="D23" s="6"/>
      <c r="E23" s="6"/>
      <c r="F23" s="6"/>
      <c r="G23" s="6"/>
      <c r="H23" s="6"/>
      <c r="I23" s="6"/>
    </row>
    <row r="24" customFormat="false" ht="15" hidden="false" customHeight="false" outlineLevel="0" collapsed="false">
      <c r="A24" s="6"/>
      <c r="B24" s="6"/>
      <c r="C24" s="6"/>
      <c r="D24" s="6"/>
      <c r="E24" s="6"/>
      <c r="F24" s="6"/>
      <c r="G24" s="6"/>
      <c r="H24" s="6"/>
      <c r="I24" s="6"/>
    </row>
    <row r="25" customFormat="false" ht="15" hidden="false" customHeight="false" outlineLevel="0" collapsed="false">
      <c r="A25" s="6"/>
      <c r="B25" s="6"/>
      <c r="C25" s="6"/>
      <c r="D25" s="6"/>
      <c r="E25" s="6"/>
      <c r="F25" s="6"/>
      <c r="G25" s="6"/>
      <c r="H25" s="6"/>
      <c r="I25" s="6"/>
    </row>
    <row r="26" customFormat="false" ht="15" hidden="false" customHeight="false" outlineLevel="0" collapsed="false">
      <c r="A26" s="6"/>
      <c r="B26" s="6"/>
      <c r="C26" s="6"/>
      <c r="D26" s="6"/>
      <c r="E26" s="6"/>
      <c r="F26" s="6"/>
      <c r="G26" s="6"/>
      <c r="H26" s="6"/>
      <c r="I26" s="6"/>
    </row>
    <row r="27" customFormat="false" ht="15" hidden="false" customHeight="false" outlineLevel="0" collapsed="false">
      <c r="A27" s="6"/>
      <c r="B27" s="6"/>
      <c r="C27" s="6"/>
      <c r="D27" s="6"/>
      <c r="E27" s="6"/>
      <c r="F27" s="6"/>
      <c r="G27" s="6"/>
      <c r="H27" s="6"/>
      <c r="I27" s="6"/>
    </row>
    <row r="28" customFormat="false" ht="15" hidden="false" customHeight="false" outlineLevel="0" collapsed="false">
      <c r="A28" s="6"/>
      <c r="B28" s="6"/>
      <c r="C28" s="6"/>
      <c r="D28" s="6"/>
      <c r="E28" s="6"/>
      <c r="F28" s="6"/>
      <c r="G28" s="6"/>
      <c r="H28" s="6"/>
      <c r="I28" s="6"/>
    </row>
    <row r="29" customFormat="false" ht="15" hidden="false" customHeight="false" outlineLevel="0" collapsed="false">
      <c r="A29" s="6"/>
      <c r="B29" s="6"/>
      <c r="C29" s="6"/>
      <c r="D29" s="6"/>
      <c r="E29" s="6"/>
      <c r="F29" s="6"/>
      <c r="G29" s="6"/>
      <c r="H29" s="6"/>
      <c r="I29" s="6"/>
    </row>
    <row r="30" customFormat="false" ht="15" hidden="false" customHeight="false" outlineLevel="0" collapsed="false">
      <c r="A30" s="6"/>
      <c r="B30" s="6"/>
      <c r="C30" s="6"/>
      <c r="D30" s="6"/>
      <c r="E30" s="6"/>
      <c r="F30" s="6"/>
      <c r="G30" s="6"/>
      <c r="H30" s="6"/>
      <c r="I30" s="6"/>
    </row>
    <row r="31" customFormat="false" ht="15" hidden="false" customHeight="false" outlineLevel="0" collapsed="false">
      <c r="A31" s="6"/>
      <c r="B31" s="6"/>
      <c r="C31" s="6"/>
      <c r="D31" s="6"/>
      <c r="E31" s="6"/>
      <c r="F31" s="6"/>
      <c r="G31" s="6"/>
      <c r="H31" s="6"/>
      <c r="I31" s="6"/>
    </row>
    <row r="32" customFormat="false" ht="15" hidden="false" customHeight="false" outlineLevel="0" collapsed="false">
      <c r="A32" s="6"/>
      <c r="B32" s="6"/>
      <c r="C32" s="6"/>
      <c r="D32" s="6"/>
      <c r="E32" s="6"/>
      <c r="F32" s="6"/>
      <c r="G32" s="6"/>
      <c r="H32" s="6"/>
      <c r="I32" s="6"/>
    </row>
    <row r="33" customFormat="false" ht="15" hidden="false" customHeight="false" outlineLevel="0" collapsed="false">
      <c r="A33" s="6"/>
      <c r="B33" s="6"/>
      <c r="C33" s="6"/>
      <c r="D33" s="6"/>
      <c r="E33" s="6"/>
      <c r="F33" s="6"/>
      <c r="G33" s="6"/>
      <c r="H33" s="6"/>
      <c r="I33" s="6"/>
    </row>
    <row r="34" customFormat="false" ht="15" hidden="false" customHeight="false" outlineLevel="0" collapsed="false">
      <c r="A34" s="6"/>
      <c r="B34" s="6"/>
      <c r="C34" s="6"/>
      <c r="D34" s="6"/>
      <c r="E34" s="6"/>
      <c r="F34" s="6"/>
      <c r="G34" s="6"/>
      <c r="H34" s="6"/>
      <c r="I34" s="6"/>
    </row>
    <row r="35" customFormat="false" ht="15" hidden="false" customHeight="false" outlineLevel="0" collapsed="false">
      <c r="A35" s="6"/>
      <c r="B35" s="6"/>
      <c r="C35" s="6"/>
      <c r="D35" s="6"/>
      <c r="E35" s="6"/>
      <c r="F35" s="6"/>
      <c r="G35" s="6"/>
      <c r="H35" s="6"/>
      <c r="I35" s="6"/>
    </row>
  </sheetData>
  <dataValidations count="3">
    <dataValidation allowBlank="true" error="Chọn giá trị trong danh sách" errorStyle="stop" errorTitle="Giá trị không hợp lệ" operator="between" showDropDown="false" showErrorMessage="false" showInputMessage="false" sqref="E5:E500" type="list">
      <formula1>"Mơ hồ,Không kiểm thử được,Thiếu,Mâu thuẫn,Sai / không khớp thực tế,Trình bày,Khác"</formula1>
      <formula2>0</formula2>
    </dataValidation>
    <dataValidation allowBlank="true" error="Chọn giá trị trong danh sách" errorStyle="stop" errorTitle="Giá trị không hợp lệ" operator="between" showDropDown="false" showErrorMessage="false" showInputMessage="false" sqref="F5:F500" type="list">
      <formula1>"Cao,Trung bình,Thấp"</formula1>
      <formula2>0</formula2>
    </dataValidation>
    <dataValidation allowBlank="true" error="Chọn giá trị trong danh sách" errorStyle="stop" errorTitle="Giá trị không hợp lệ" operator="between" showDropDown="false" showErrorMessage="false" showInputMessage="false" sqref="H5:H500" type="list">
      <formula1>"Chấp nhận,Không chấp nhận,Cần trao đổi thêm"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M35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6.1"/>
    <col collapsed="false" customWidth="true" hidden="false" outlineLevel="0" max="3" min="3" style="0" width="20.7"/>
    <col collapsed="false" customWidth="true" hidden="false" outlineLevel="0" max="4" min="4" style="0" width="34.51"/>
    <col collapsed="false" customWidth="true" hidden="false" outlineLevel="0" max="5" min="5" style="0" width="27.61"/>
    <col collapsed="false" customWidth="true" hidden="false" outlineLevel="0" max="6" min="6" style="0" width="25.3"/>
    <col collapsed="false" customWidth="true" hidden="false" outlineLevel="0" max="7" min="7" style="0" width="41.4"/>
    <col collapsed="false" customWidth="true" hidden="false" outlineLevel="0" max="8" min="8" style="0" width="36.8"/>
    <col collapsed="false" customWidth="true" hidden="false" outlineLevel="0" max="9" min="9" style="0" width="11.5"/>
    <col collapsed="false" customWidth="true" hidden="false" outlineLevel="0" max="10" min="10" style="0" width="12.61"/>
    <col collapsed="false" customWidth="true" hidden="false" outlineLevel="0" max="11" min="11" style="0" width="29.9"/>
    <col collapsed="false" customWidth="true" hidden="false" outlineLevel="0" max="12" min="12" style="0" width="12.61"/>
    <col collapsed="false" customWidth="true" hidden="false" outlineLevel="0" max="13" min="13" style="0" width="18.4"/>
  </cols>
  <sheetData>
    <row r="1" customFormat="false" ht="17.35" hidden="false" customHeight="false" outlineLevel="0" collapsed="false">
      <c r="A1" s="1" t="s">
        <v>43</v>
      </c>
    </row>
    <row r="2" customFormat="false" ht="15" hidden="false" customHeight="false" outlineLevel="0" collapsed="false">
      <c r="A2" s="2" t="s">
        <v>44</v>
      </c>
    </row>
    <row r="3" customFormat="false" ht="15" hidden="false" customHeight="false" outlineLevel="0" collapsed="false">
      <c r="A3" s="2" t="s">
        <v>25</v>
      </c>
    </row>
    <row r="4" customFormat="false" ht="31.5" hidden="false" customHeight="true" outlineLevel="0" collapsed="false">
      <c r="A4" s="7" t="s">
        <v>45</v>
      </c>
      <c r="B4" s="7" t="s">
        <v>46</v>
      </c>
      <c r="C4" s="7" t="s">
        <v>47</v>
      </c>
      <c r="D4" s="7" t="s">
        <v>48</v>
      </c>
      <c r="E4" s="7" t="s">
        <v>49</v>
      </c>
      <c r="F4" s="7" t="s">
        <v>50</v>
      </c>
      <c r="G4" s="7" t="s">
        <v>51</v>
      </c>
      <c r="H4" s="7" t="s">
        <v>52</v>
      </c>
      <c r="I4" s="7" t="s">
        <v>53</v>
      </c>
      <c r="J4" s="7" t="s">
        <v>54</v>
      </c>
      <c r="K4" s="7" t="s">
        <v>55</v>
      </c>
      <c r="L4" s="7" t="s">
        <v>56</v>
      </c>
      <c r="M4" s="7" t="s">
        <v>57</v>
      </c>
    </row>
    <row r="5" customFormat="false" ht="39.55" hidden="false" customHeight="false" outlineLevel="0" collapsed="false">
      <c r="A5" s="8" t="s">
        <v>58</v>
      </c>
      <c r="B5" s="8" t="s">
        <v>59</v>
      </c>
      <c r="C5" s="8" t="s">
        <v>60</v>
      </c>
      <c r="D5" s="8" t="s">
        <v>61</v>
      </c>
      <c r="E5" s="8" t="s">
        <v>62</v>
      </c>
      <c r="F5" s="8" t="s">
        <v>63</v>
      </c>
      <c r="G5" s="8" t="s">
        <v>64</v>
      </c>
      <c r="H5" s="8" t="s">
        <v>65</v>
      </c>
      <c r="I5" s="8" t="s">
        <v>66</v>
      </c>
      <c r="J5" s="8" t="s">
        <v>67</v>
      </c>
      <c r="K5" s="8" t="s">
        <v>68</v>
      </c>
      <c r="L5" s="8" t="s">
        <v>69</v>
      </c>
      <c r="M5" s="8"/>
    </row>
    <row r="6" customFormat="false" ht="15" hidden="false" customHeight="false" outlineLevel="0" collapsed="false">
      <c r="A6" s="6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</row>
    <row r="7" customFormat="false" ht="15" hidden="false" customHeight="false" outlineLevel="0" collapsed="false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</row>
    <row r="8" customFormat="false" ht="15" hidden="false" customHeight="false" outlineLevel="0" collapsed="false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</row>
    <row r="9" customFormat="false" ht="15" hidden="false" customHeight="false" outlineLevel="0" collapsed="false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</row>
    <row r="10" customFormat="false" ht="15" hidden="false" customHeight="false" outlineLevel="0" collapsed="false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</row>
    <row r="11" customFormat="false" ht="15" hidden="false" customHeight="false" outlineLevel="0" collapsed="false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</row>
    <row r="12" customFormat="false" ht="15" hidden="false" customHeight="false" outlineLevel="0" collapsed="false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</row>
    <row r="13" customFormat="false" ht="15" hidden="false" customHeight="false" outlineLevel="0" collapsed="false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</row>
    <row r="14" customFormat="false" ht="15" hidden="false" customHeight="false" outlineLevel="0" collapsed="false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</row>
    <row r="15" customFormat="false" ht="15" hidden="false" customHeight="false" outlineLevel="0" collapsed="false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</row>
    <row r="16" customFormat="false" ht="15" hidden="false" customHeight="false" outlineLevel="0" collapsed="false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</row>
    <row r="17" customFormat="false" ht="15" hidden="false" customHeight="false" outlineLevel="0" collapsed="false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</row>
    <row r="18" customFormat="false" ht="15" hidden="false" customHeight="false" outlineLevel="0" collapsed="false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</row>
    <row r="19" customFormat="false" ht="15" hidden="false" customHeight="false" outlineLevel="0" collapsed="false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</row>
    <row r="20" customFormat="false" ht="15" hidden="false" customHeight="false" outlineLevel="0" collapsed="false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</row>
    <row r="21" customFormat="false" ht="15" hidden="false" customHeight="false" outlineLevel="0" collapsed="false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</row>
    <row r="22" customFormat="false" ht="15" hidden="false" customHeight="false" outlineLevel="0" collapsed="false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</row>
    <row r="23" customFormat="false" ht="15" hidden="false" customHeight="false" outlineLevel="0" collapsed="false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</row>
    <row r="24" customFormat="false" ht="15" hidden="false" customHeight="false" outlineLevel="0" collapsed="false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</row>
    <row r="25" customFormat="false" ht="15" hidden="false" customHeight="false" outlineLevel="0" collapsed="false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</row>
    <row r="26" customFormat="false" ht="15" hidden="false" customHeight="false" outlineLevel="0" collapsed="false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</row>
    <row r="27" customFormat="false" ht="15" hidden="false" customHeight="false" outlineLevel="0" collapsed="false">
      <c r="A27" s="6"/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</row>
    <row r="28" customFormat="false" ht="15" hidden="false" customHeight="false" outlineLevel="0" collapsed="false">
      <c r="A28" s="6"/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</row>
    <row r="29" customFormat="false" ht="15" hidden="false" customHeight="false" outlineLevel="0" collapsed="false">
      <c r="A29" s="6"/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</row>
    <row r="30" customFormat="false" ht="15" hidden="false" customHeight="false" outlineLevel="0" collapsed="false">
      <c r="A30" s="6"/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</row>
    <row r="31" customFormat="false" ht="15" hidden="false" customHeight="false" outlineLevel="0" collapsed="false">
      <c r="A31" s="6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</row>
    <row r="32" customFormat="false" ht="15" hidden="false" customHeight="false" outlineLevel="0" collapsed="false">
      <c r="A32" s="6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</row>
    <row r="33" customFormat="false" ht="15" hidden="false" customHeight="false" outlineLevel="0" collapsed="false">
      <c r="A33" s="6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</row>
    <row r="34" customFormat="false" ht="15" hidden="false" customHeight="false" outlineLevel="0" collapsed="false">
      <c r="A34" s="6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</row>
    <row r="35" customFormat="false" ht="15" hidden="false" customHeight="false" outlineLevel="0" collapsed="false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</row>
  </sheetData>
  <dataValidations count="3">
    <dataValidation allowBlank="true" error="Chọn giá trị trong danh sách" errorStyle="stop" errorTitle="Giá trị không hợp lệ" operator="between" showDropDown="false" showErrorMessage="false" showInputMessage="false" sqref="C5:C500" type="list">
      <formula1>"Phân hoạch tương đương (EP),Giá trị biên (BVA),Bảng quyết định,Chuyển trạng thái,Use case / E2E,Phân quyền,Error guessing / Checklist,Exploratory"</formula1>
      <formula2>0</formula2>
    </dataValidation>
    <dataValidation allowBlank="true" error="Chọn giá trị trong danh sách" errorStyle="stop" errorTitle="Giá trị không hợp lệ" operator="between" showDropDown="false" showErrorMessage="false" showInputMessage="false" sqref="I5:I500" type="list">
      <formula1>"High,Medium,Low"</formula1>
      <formula2>0</formula2>
    </dataValidation>
    <dataValidation allowBlank="true" error="Chọn giá trị trong danh sách" errorStyle="stop" errorTitle="Giá trị không hợp lệ" operator="between" showDropDown="false" showErrorMessage="false" showInputMessage="false" sqref="J5:J500" type="list">
      <formula1>"Pass,Fail,Blocked,Chưa chạy"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L35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.1"/>
    <col collapsed="false" customWidth="true" hidden="false" outlineLevel="0" max="2" min="2" style="0" width="11.5"/>
    <col collapsed="false" customWidth="true" hidden="false" outlineLevel="0" max="3" min="3" style="0" width="18.4"/>
    <col collapsed="false" customWidth="true" hidden="false" outlineLevel="0" max="4" min="4" style="0" width="34.51"/>
    <col collapsed="false" customWidth="true" hidden="false" outlineLevel="0" max="5" min="5" style="0" width="23"/>
    <col collapsed="false" customWidth="true" hidden="false" outlineLevel="0" max="6" min="6" style="0" width="29.9"/>
    <col collapsed="false" customWidth="true" hidden="false" outlineLevel="0" max="7" min="7" style="0" width="39.1"/>
    <col collapsed="false" customWidth="true" hidden="false" outlineLevel="0" max="8" min="8" style="0" width="27.61"/>
    <col collapsed="false" customWidth="true" hidden="false" outlineLevel="0" max="9" min="9" style="0" width="23"/>
    <col collapsed="false" customWidth="true" hidden="false" outlineLevel="0" max="11" min="10" style="0" width="12.61"/>
    <col collapsed="false" customWidth="true" hidden="false" outlineLevel="0" max="12" min="12" style="0" width="18.4"/>
  </cols>
  <sheetData>
    <row r="1" customFormat="false" ht="17.35" hidden="false" customHeight="false" outlineLevel="0" collapsed="false">
      <c r="A1" s="1" t="s">
        <v>70</v>
      </c>
    </row>
    <row r="2" customFormat="false" ht="15" hidden="false" customHeight="false" outlineLevel="0" collapsed="false">
      <c r="A2" s="2" t="s">
        <v>71</v>
      </c>
    </row>
    <row r="3" customFormat="false" ht="15" hidden="false" customHeight="false" outlineLevel="0" collapsed="false">
      <c r="A3" s="2" t="s">
        <v>25</v>
      </c>
    </row>
    <row r="4" customFormat="false" ht="31.5" hidden="false" customHeight="true" outlineLevel="0" collapsed="false">
      <c r="A4" s="7" t="s">
        <v>45</v>
      </c>
      <c r="B4" s="7" t="s">
        <v>72</v>
      </c>
      <c r="C4" s="7" t="s">
        <v>73</v>
      </c>
      <c r="D4" s="7" t="s">
        <v>48</v>
      </c>
      <c r="E4" s="7" t="s">
        <v>74</v>
      </c>
      <c r="F4" s="7" t="s">
        <v>75</v>
      </c>
      <c r="G4" s="7" t="s">
        <v>51</v>
      </c>
      <c r="H4" s="7" t="s">
        <v>76</v>
      </c>
      <c r="I4" s="7" t="s">
        <v>77</v>
      </c>
      <c r="J4" s="7" t="s">
        <v>54</v>
      </c>
      <c r="K4" s="7" t="s">
        <v>56</v>
      </c>
      <c r="L4" s="7" t="s">
        <v>57</v>
      </c>
    </row>
    <row r="5" customFormat="false" ht="39.55" hidden="false" customHeight="false" outlineLevel="0" collapsed="false">
      <c r="A5" s="8" t="s">
        <v>78</v>
      </c>
      <c r="B5" s="8" t="s">
        <v>79</v>
      </c>
      <c r="C5" s="8" t="s">
        <v>80</v>
      </c>
      <c r="D5" s="8" t="s">
        <v>81</v>
      </c>
      <c r="E5" s="8" t="s">
        <v>82</v>
      </c>
      <c r="F5" s="8" t="s">
        <v>83</v>
      </c>
      <c r="G5" s="8" t="s">
        <v>84</v>
      </c>
      <c r="H5" s="8" t="s">
        <v>85</v>
      </c>
      <c r="I5" s="8" t="s">
        <v>86</v>
      </c>
      <c r="J5" s="8" t="s">
        <v>67</v>
      </c>
      <c r="K5" s="8" t="s">
        <v>87</v>
      </c>
      <c r="L5" s="8"/>
    </row>
    <row r="6" customFormat="false" ht="15" hidden="false" customHeight="false" outlineLevel="0" collapsed="false">
      <c r="A6" s="6"/>
      <c r="B6" s="6"/>
      <c r="C6" s="6"/>
      <c r="D6" s="6"/>
      <c r="E6" s="6"/>
      <c r="F6" s="6"/>
      <c r="G6" s="6"/>
      <c r="H6" s="6"/>
      <c r="I6" s="6"/>
      <c r="J6" s="6"/>
      <c r="K6" s="6"/>
      <c r="L6" s="6"/>
    </row>
    <row r="7" customFormat="false" ht="15" hidden="false" customHeight="false" outlineLevel="0" collapsed="false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</row>
    <row r="8" customFormat="false" ht="15" hidden="false" customHeight="false" outlineLevel="0" collapsed="false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</row>
    <row r="9" customFormat="false" ht="15" hidden="false" customHeight="false" outlineLevel="0" collapsed="false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</row>
    <row r="10" customFormat="false" ht="15" hidden="false" customHeight="false" outlineLevel="0" collapsed="false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</row>
    <row r="11" customFormat="false" ht="15" hidden="false" customHeight="false" outlineLevel="0" collapsed="false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</row>
    <row r="12" customFormat="false" ht="15" hidden="false" customHeight="false" outlineLevel="0" collapsed="false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</row>
    <row r="13" customFormat="false" ht="15" hidden="false" customHeight="false" outlineLevel="0" collapsed="false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</row>
    <row r="14" customFormat="false" ht="15" hidden="false" customHeight="false" outlineLevel="0" collapsed="false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</row>
    <row r="15" customFormat="false" ht="15" hidden="false" customHeight="false" outlineLevel="0" collapsed="false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</row>
    <row r="16" customFormat="false" ht="15" hidden="false" customHeight="false" outlineLevel="0" collapsed="false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</row>
    <row r="17" customFormat="false" ht="15" hidden="false" customHeight="false" outlineLevel="0" collapsed="false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</row>
    <row r="18" customFormat="false" ht="15" hidden="false" customHeight="false" outlineLevel="0" collapsed="false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</row>
    <row r="19" customFormat="false" ht="15" hidden="false" customHeight="false" outlineLevel="0" collapsed="false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</row>
    <row r="20" customFormat="false" ht="15" hidden="false" customHeight="false" outlineLevel="0" collapsed="false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</row>
    <row r="21" customFormat="false" ht="15" hidden="false" customHeight="false" outlineLevel="0" collapsed="false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</row>
    <row r="22" customFormat="false" ht="15" hidden="false" customHeight="false" outlineLevel="0" collapsed="false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</row>
    <row r="23" customFormat="false" ht="15" hidden="false" customHeight="false" outlineLevel="0" collapsed="false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</row>
    <row r="24" customFormat="false" ht="15" hidden="false" customHeight="false" outlineLevel="0" collapsed="false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</row>
    <row r="25" customFormat="false" ht="15" hidden="false" customHeight="false" outlineLevel="0" collapsed="false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</row>
    <row r="26" customFormat="false" ht="15" hidden="false" customHeight="false" outlineLevel="0" collapsed="false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</row>
    <row r="27" customFormat="false" ht="15" hidden="false" customHeight="false" outlineLevel="0" collapsed="false">
      <c r="A27" s="6"/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</row>
    <row r="28" customFormat="false" ht="15" hidden="false" customHeight="false" outlineLevel="0" collapsed="false">
      <c r="A28" s="6"/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</row>
    <row r="29" customFormat="false" ht="15" hidden="false" customHeight="false" outlineLevel="0" collapsed="false">
      <c r="A29" s="6"/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</row>
    <row r="30" customFormat="false" ht="15" hidden="false" customHeight="false" outlineLevel="0" collapsed="false">
      <c r="A30" s="6"/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</row>
    <row r="31" customFormat="false" ht="15" hidden="false" customHeight="false" outlineLevel="0" collapsed="false">
      <c r="A31" s="6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</row>
    <row r="32" customFormat="false" ht="15" hidden="false" customHeight="false" outlineLevel="0" collapsed="false">
      <c r="A32" s="6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</row>
    <row r="33" customFormat="false" ht="15" hidden="false" customHeight="false" outlineLevel="0" collapsed="false">
      <c r="A33" s="6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</row>
    <row r="34" customFormat="false" ht="15" hidden="false" customHeight="false" outlineLevel="0" collapsed="false">
      <c r="A34" s="6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</row>
    <row r="35" customFormat="false" ht="15" hidden="false" customHeight="false" outlineLevel="0" collapsed="false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</row>
  </sheetData>
  <dataValidations count="2">
    <dataValidation allowBlank="true" error="Chọn giá trị trong danh sách" errorStyle="stop" errorTitle="Giá trị không hợp lệ" operator="between" showDropDown="false" showErrorMessage="false" showInputMessage="false" sqref="C5:C500" type="list">
      <formula1>"Hiệu năng,Bảo mật,Khả dụng,Tương thích,Tin cậy,Khác"</formula1>
      <formula2>0</formula2>
    </dataValidation>
    <dataValidation allowBlank="true" error="Chọn giá trị trong danh sách" errorStyle="stop" errorTitle="Giá trị không hợp lệ" operator="between" showDropDown="false" showErrorMessage="false" showInputMessage="false" sqref="J5:J500" type="list">
      <formula1>"Pass,Fail,Blocked,Chưa chạy"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L35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.9"/>
    <col collapsed="false" customWidth="true" hidden="false" outlineLevel="0" max="2" min="2" style="0" width="13.8"/>
    <col collapsed="false" customWidth="true" hidden="false" outlineLevel="0" max="3" min="3" style="0" width="18.4"/>
    <col collapsed="false" customWidth="true" hidden="false" outlineLevel="0" max="4" min="4" style="0" width="27.61"/>
    <col collapsed="false" customWidth="true" hidden="false" outlineLevel="0" max="5" min="5" style="0" width="23"/>
    <col collapsed="false" customWidth="true" hidden="false" outlineLevel="0" max="6" min="6" style="0" width="29.9"/>
    <col collapsed="false" customWidth="true" hidden="false" outlineLevel="0" max="7" min="7" style="0" width="11.5"/>
    <col collapsed="false" customWidth="true" hidden="false" outlineLevel="0" max="9" min="8" style="0" width="9.2"/>
    <col collapsed="false" customWidth="true" hidden="false" outlineLevel="0" max="10" min="10" style="0" width="10.3"/>
    <col collapsed="false" customWidth="true" hidden="false" outlineLevel="0" max="11" min="11" style="0" width="23"/>
    <col collapsed="false" customWidth="true" hidden="false" outlineLevel="0" max="12" min="12" style="0" width="34.51"/>
  </cols>
  <sheetData>
    <row r="1" customFormat="false" ht="17.35" hidden="false" customHeight="false" outlineLevel="0" collapsed="false">
      <c r="A1" s="1" t="s">
        <v>88</v>
      </c>
    </row>
    <row r="2" customFormat="false" ht="15" hidden="false" customHeight="false" outlineLevel="0" collapsed="false">
      <c r="A2" s="2" t="s">
        <v>89</v>
      </c>
    </row>
    <row r="3" customFormat="false" ht="15" hidden="false" customHeight="false" outlineLevel="0" collapsed="false">
      <c r="A3" s="2" t="s">
        <v>25</v>
      </c>
    </row>
    <row r="4" customFormat="false" ht="31.5" hidden="false" customHeight="true" outlineLevel="0" collapsed="false">
      <c r="A4" s="7" t="s">
        <v>26</v>
      </c>
      <c r="B4" s="7" t="s">
        <v>90</v>
      </c>
      <c r="C4" s="7" t="s">
        <v>91</v>
      </c>
      <c r="D4" s="7" t="s">
        <v>92</v>
      </c>
      <c r="E4" s="7" t="s">
        <v>93</v>
      </c>
      <c r="F4" s="7" t="s">
        <v>94</v>
      </c>
      <c r="G4" s="7" t="s">
        <v>95</v>
      </c>
      <c r="H4" s="7" t="s">
        <v>96</v>
      </c>
      <c r="I4" s="7" t="s">
        <v>67</v>
      </c>
      <c r="J4" s="7" t="s">
        <v>97</v>
      </c>
      <c r="K4" s="7" t="s">
        <v>98</v>
      </c>
      <c r="L4" s="7" t="s">
        <v>99</v>
      </c>
    </row>
    <row r="5" customFormat="false" ht="26.85" hidden="false" customHeight="false" outlineLevel="0" collapsed="false">
      <c r="A5" s="8" t="n">
        <v>1</v>
      </c>
      <c r="B5" s="8" t="s">
        <v>100</v>
      </c>
      <c r="C5" s="8" t="s">
        <v>101</v>
      </c>
      <c r="D5" s="8" t="s">
        <v>102</v>
      </c>
      <c r="E5" s="8" t="s">
        <v>103</v>
      </c>
      <c r="F5" s="8" t="s">
        <v>104</v>
      </c>
      <c r="G5" s="8" t="n">
        <v>38</v>
      </c>
      <c r="H5" s="8" t="n">
        <v>31</v>
      </c>
      <c r="I5" s="8" t="n">
        <v>6</v>
      </c>
      <c r="J5" s="8" t="n">
        <v>1</v>
      </c>
      <c r="K5" s="8" t="s">
        <v>105</v>
      </c>
      <c r="L5" s="8" t="s">
        <v>106</v>
      </c>
    </row>
    <row r="6" customFormat="false" ht="15" hidden="false" customHeight="false" outlineLevel="0" collapsed="false">
      <c r="A6" s="6"/>
      <c r="B6" s="6"/>
      <c r="C6" s="6"/>
      <c r="D6" s="6"/>
      <c r="E6" s="6"/>
      <c r="F6" s="6"/>
      <c r="G6" s="6"/>
      <c r="H6" s="6"/>
      <c r="I6" s="6"/>
      <c r="J6" s="6"/>
      <c r="K6" s="6"/>
      <c r="L6" s="6"/>
    </row>
    <row r="7" customFormat="false" ht="15" hidden="false" customHeight="false" outlineLevel="0" collapsed="false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</row>
    <row r="8" customFormat="false" ht="15" hidden="false" customHeight="false" outlineLevel="0" collapsed="false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</row>
    <row r="9" customFormat="false" ht="15" hidden="false" customHeight="false" outlineLevel="0" collapsed="false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</row>
    <row r="10" customFormat="false" ht="15" hidden="false" customHeight="false" outlineLevel="0" collapsed="false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</row>
    <row r="11" customFormat="false" ht="15" hidden="false" customHeight="false" outlineLevel="0" collapsed="false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</row>
    <row r="12" customFormat="false" ht="15" hidden="false" customHeight="false" outlineLevel="0" collapsed="false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</row>
    <row r="13" customFormat="false" ht="15" hidden="false" customHeight="false" outlineLevel="0" collapsed="false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</row>
    <row r="14" customFormat="false" ht="15" hidden="false" customHeight="false" outlineLevel="0" collapsed="false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</row>
    <row r="15" customFormat="false" ht="15" hidden="false" customHeight="false" outlineLevel="0" collapsed="false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</row>
    <row r="16" customFormat="false" ht="15" hidden="false" customHeight="false" outlineLevel="0" collapsed="false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</row>
    <row r="17" customFormat="false" ht="15" hidden="false" customHeight="false" outlineLevel="0" collapsed="false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</row>
    <row r="18" customFormat="false" ht="15" hidden="false" customHeight="false" outlineLevel="0" collapsed="false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</row>
    <row r="19" customFormat="false" ht="15" hidden="false" customHeight="false" outlineLevel="0" collapsed="false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</row>
    <row r="20" customFormat="false" ht="15" hidden="false" customHeight="false" outlineLevel="0" collapsed="false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</row>
    <row r="21" customFormat="false" ht="15" hidden="false" customHeight="false" outlineLevel="0" collapsed="false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</row>
    <row r="22" customFormat="false" ht="15" hidden="false" customHeight="false" outlineLevel="0" collapsed="false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</row>
    <row r="23" customFormat="false" ht="15" hidden="false" customHeight="false" outlineLevel="0" collapsed="false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</row>
    <row r="24" customFormat="false" ht="15" hidden="false" customHeight="false" outlineLevel="0" collapsed="false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</row>
    <row r="25" customFormat="false" ht="15" hidden="false" customHeight="false" outlineLevel="0" collapsed="false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</row>
    <row r="26" customFormat="false" ht="15" hidden="false" customHeight="false" outlineLevel="0" collapsed="false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</row>
    <row r="27" customFormat="false" ht="15" hidden="false" customHeight="false" outlineLevel="0" collapsed="false">
      <c r="A27" s="6"/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</row>
    <row r="28" customFormat="false" ht="15" hidden="false" customHeight="false" outlineLevel="0" collapsed="false">
      <c r="A28" s="6"/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</row>
    <row r="29" customFormat="false" ht="15" hidden="false" customHeight="false" outlineLevel="0" collapsed="false">
      <c r="A29" s="6"/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</row>
    <row r="30" customFormat="false" ht="15" hidden="false" customHeight="false" outlineLevel="0" collapsed="false">
      <c r="A30" s="6"/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</row>
    <row r="31" customFormat="false" ht="15" hidden="false" customHeight="false" outlineLevel="0" collapsed="false">
      <c r="A31" s="6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</row>
    <row r="32" customFormat="false" ht="15" hidden="false" customHeight="false" outlineLevel="0" collapsed="false">
      <c r="A32" s="6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</row>
    <row r="33" customFormat="false" ht="15" hidden="false" customHeight="false" outlineLevel="0" collapsed="false">
      <c r="A33" s="6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</row>
    <row r="34" customFormat="false" ht="15" hidden="false" customHeight="false" outlineLevel="0" collapsed="false">
      <c r="A34" s="6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</row>
    <row r="35" customFormat="false" ht="15" hidden="false" customHeight="false" outlineLevel="0" collapsed="false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Q35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.5"/>
    <col collapsed="false" customWidth="true" hidden="false" outlineLevel="0" max="2" min="2" style="0" width="34.51"/>
    <col collapsed="false" customWidth="true" hidden="false" outlineLevel="0" max="3" min="3" style="0" width="14.9"/>
    <col collapsed="false" customWidth="true" hidden="false" outlineLevel="0" max="4" min="4" style="0" width="13.8"/>
    <col collapsed="false" customWidth="true" hidden="false" outlineLevel="0" max="5" min="5" style="0" width="11.5"/>
    <col collapsed="false" customWidth="true" hidden="false" outlineLevel="0" max="6" min="6" style="0" width="14.9"/>
    <col collapsed="false" customWidth="true" hidden="false" outlineLevel="0" max="7" min="7" style="0" width="16.1"/>
    <col collapsed="false" customWidth="true" hidden="false" outlineLevel="0" max="8" min="8" style="0" width="25.3"/>
    <col collapsed="false" customWidth="true" hidden="false" outlineLevel="0" max="9" min="9" style="0" width="20.7"/>
    <col collapsed="false" customWidth="true" hidden="false" outlineLevel="0" max="10" min="10" style="0" width="25.3"/>
    <col collapsed="false" customWidth="true" hidden="false" outlineLevel="0" max="11" min="11" style="0" width="39.1"/>
    <col collapsed="false" customWidth="true" hidden="false" outlineLevel="0" max="13" min="12" style="0" width="32.2"/>
    <col collapsed="false" customWidth="true" hidden="false" outlineLevel="0" max="14" min="14" style="0" width="25.3"/>
    <col collapsed="false" customWidth="true" hidden="false" outlineLevel="0" max="15" min="15" style="0" width="13.8"/>
    <col collapsed="false" customWidth="true" hidden="false" outlineLevel="0" max="16" min="16" style="0" width="18.4"/>
    <col collapsed="false" customWidth="true" hidden="false" outlineLevel="0" max="17" min="17" style="0" width="32.2"/>
  </cols>
  <sheetData>
    <row r="1" customFormat="false" ht="17.35" hidden="false" customHeight="false" outlineLevel="0" collapsed="false">
      <c r="A1" s="1" t="s">
        <v>107</v>
      </c>
    </row>
    <row r="2" customFormat="false" ht="15" hidden="false" customHeight="false" outlineLevel="0" collapsed="false">
      <c r="A2" s="2" t="s">
        <v>108</v>
      </c>
    </row>
    <row r="3" customFormat="false" ht="15" hidden="false" customHeight="false" outlineLevel="0" collapsed="false">
      <c r="A3" s="2" t="s">
        <v>25</v>
      </c>
    </row>
    <row r="4" customFormat="false" ht="31.5" hidden="false" customHeight="true" outlineLevel="0" collapsed="false">
      <c r="A4" s="7" t="s">
        <v>56</v>
      </c>
      <c r="B4" s="7" t="s">
        <v>48</v>
      </c>
      <c r="C4" s="7" t="s">
        <v>109</v>
      </c>
      <c r="D4" s="7" t="s">
        <v>110</v>
      </c>
      <c r="E4" s="7" t="s">
        <v>111</v>
      </c>
      <c r="F4" s="7" t="s">
        <v>112</v>
      </c>
      <c r="G4" s="7" t="s">
        <v>113</v>
      </c>
      <c r="H4" s="7" t="s">
        <v>114</v>
      </c>
      <c r="I4" s="7" t="s">
        <v>93</v>
      </c>
      <c r="J4" s="7" t="s">
        <v>49</v>
      </c>
      <c r="K4" s="7" t="s">
        <v>115</v>
      </c>
      <c r="L4" s="7" t="s">
        <v>116</v>
      </c>
      <c r="M4" s="7" t="s">
        <v>117</v>
      </c>
      <c r="N4" s="7" t="s">
        <v>118</v>
      </c>
      <c r="O4" s="7" t="s">
        <v>119</v>
      </c>
      <c r="P4" s="7" t="s">
        <v>120</v>
      </c>
      <c r="Q4" s="7" t="s">
        <v>33</v>
      </c>
    </row>
    <row r="5" customFormat="false" ht="39.55" hidden="false" customHeight="false" outlineLevel="0" collapsed="false">
      <c r="A5" s="8" t="s">
        <v>69</v>
      </c>
      <c r="B5" s="8" t="s">
        <v>121</v>
      </c>
      <c r="C5" s="8" t="s">
        <v>122</v>
      </c>
      <c r="D5" s="8" t="s">
        <v>123</v>
      </c>
      <c r="E5" s="8" t="s">
        <v>66</v>
      </c>
      <c r="F5" s="8" t="s">
        <v>59</v>
      </c>
      <c r="G5" s="8" t="s">
        <v>58</v>
      </c>
      <c r="H5" s="8" t="s">
        <v>124</v>
      </c>
      <c r="I5" s="8" t="s">
        <v>103</v>
      </c>
      <c r="J5" s="8" t="s">
        <v>125</v>
      </c>
      <c r="K5" s="8" t="s">
        <v>126</v>
      </c>
      <c r="L5" s="8" t="s">
        <v>127</v>
      </c>
      <c r="M5" s="8" t="s">
        <v>128</v>
      </c>
      <c r="N5" s="8" t="s">
        <v>129</v>
      </c>
      <c r="O5" s="8" t="s">
        <v>100</v>
      </c>
      <c r="P5" s="8" t="s">
        <v>130</v>
      </c>
      <c r="Q5" s="8"/>
    </row>
    <row r="6" customFormat="false" ht="15" hidden="false" customHeight="false" outlineLevel="0" collapsed="false">
      <c r="A6" s="6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</row>
    <row r="7" customFormat="false" ht="15" hidden="false" customHeight="false" outlineLevel="0" collapsed="false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</row>
    <row r="8" customFormat="false" ht="15" hidden="false" customHeight="false" outlineLevel="0" collapsed="false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</row>
    <row r="9" customFormat="false" ht="15" hidden="false" customHeight="false" outlineLevel="0" collapsed="false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</row>
    <row r="10" customFormat="false" ht="15" hidden="false" customHeight="false" outlineLevel="0" collapsed="false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</row>
    <row r="11" customFormat="false" ht="15" hidden="false" customHeight="false" outlineLevel="0" collapsed="false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</row>
    <row r="12" customFormat="false" ht="15" hidden="false" customHeight="false" outlineLevel="0" collapsed="false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</row>
    <row r="13" customFormat="false" ht="15" hidden="false" customHeight="false" outlineLevel="0" collapsed="false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</row>
    <row r="14" customFormat="false" ht="15" hidden="false" customHeight="false" outlineLevel="0" collapsed="false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</row>
    <row r="15" customFormat="false" ht="15" hidden="false" customHeight="false" outlineLevel="0" collapsed="false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</row>
    <row r="16" customFormat="false" ht="15" hidden="false" customHeight="false" outlineLevel="0" collapsed="false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</row>
    <row r="17" customFormat="false" ht="15" hidden="false" customHeight="false" outlineLevel="0" collapsed="false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</row>
    <row r="18" customFormat="false" ht="15" hidden="false" customHeight="false" outlineLevel="0" collapsed="false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</row>
    <row r="19" customFormat="false" ht="15" hidden="false" customHeight="false" outlineLevel="0" collapsed="false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</row>
    <row r="20" customFormat="false" ht="15" hidden="false" customHeight="false" outlineLevel="0" collapsed="false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</row>
    <row r="21" customFormat="false" ht="15" hidden="false" customHeight="false" outlineLevel="0" collapsed="false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</row>
    <row r="22" customFormat="false" ht="15" hidden="false" customHeight="false" outlineLevel="0" collapsed="false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</row>
    <row r="23" customFormat="false" ht="15" hidden="false" customHeight="false" outlineLevel="0" collapsed="false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</row>
    <row r="24" customFormat="false" ht="15" hidden="false" customHeight="false" outlineLevel="0" collapsed="false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</row>
    <row r="25" customFormat="false" ht="15" hidden="false" customHeight="false" outlineLevel="0" collapsed="false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</row>
    <row r="26" customFormat="false" ht="15" hidden="false" customHeight="false" outlineLevel="0" collapsed="false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</row>
    <row r="27" customFormat="false" ht="15" hidden="false" customHeight="false" outlineLevel="0" collapsed="false">
      <c r="A27" s="6"/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</row>
    <row r="28" customFormat="false" ht="15" hidden="false" customHeight="false" outlineLevel="0" collapsed="false">
      <c r="A28" s="6"/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</row>
    <row r="29" customFormat="false" ht="15" hidden="false" customHeight="false" outlineLevel="0" collapsed="false">
      <c r="A29" s="6"/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</row>
    <row r="30" customFormat="false" ht="15" hidden="false" customHeight="false" outlineLevel="0" collapsed="false">
      <c r="A30" s="6"/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</row>
    <row r="31" customFormat="false" ht="15" hidden="false" customHeight="false" outlineLevel="0" collapsed="false">
      <c r="A31" s="6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</row>
    <row r="32" customFormat="false" ht="15" hidden="false" customHeight="false" outlineLevel="0" collapsed="false">
      <c r="A32" s="6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</row>
    <row r="33" customFormat="false" ht="15" hidden="false" customHeight="false" outlineLevel="0" collapsed="false">
      <c r="A33" s="6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</row>
    <row r="34" customFormat="false" ht="15" hidden="false" customHeight="false" outlineLevel="0" collapsed="false">
      <c r="A34" s="6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</row>
    <row r="35" customFormat="false" ht="15" hidden="false" customHeight="false" outlineLevel="0" collapsed="false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</row>
  </sheetData>
  <dataValidations count="4">
    <dataValidation allowBlank="true" error="Chọn giá trị trong danh sách" errorStyle="stop" errorTitle="Giá trị không hợp lệ" operator="between" showDropDown="false" showErrorMessage="false" showInputMessage="false" sqref="C5:C500" type="list">
      <formula1>"Functional,Visual,Content,Performance,Crash"</formula1>
      <formula2>0</formula2>
    </dataValidation>
    <dataValidation allowBlank="true" error="Chọn giá trị trong danh sách" errorStyle="stop" errorTitle="Giá trị không hợp lệ" operator="between" showDropDown="false" showErrorMessage="false" showInputMessage="false" sqref="D5:D500" type="list">
      <formula1>"Critical,Major,Minor,Trivial"</formula1>
      <formula2>0</formula2>
    </dataValidation>
    <dataValidation allowBlank="true" error="Chọn giá trị trong danh sách" errorStyle="stop" errorTitle="Giá trị không hợp lệ" operator="between" showDropDown="false" showErrorMessage="false" showInputMessage="false" sqref="E5:E500" type="list">
      <formula1>"High,Medium,Low"</formula1>
      <formula2>0</formula2>
    </dataValidation>
    <dataValidation allowBlank="true" error="Chọn giá trị trong danh sách" errorStyle="stop" errorTitle="Giá trị không hợp lệ" operator="between" showDropDown="false" showErrorMessage="false" showInputMessage="false" sqref="P5:P500" type="list">
      <formula1>"Mới,Đã xác nhận,Bị từ chối,Trùng lặp,Cần thêm thông tin"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F47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7" min="2" style="0" width="14"/>
  </cols>
  <sheetData>
    <row r="1" customFormat="false" ht="17.35" hidden="false" customHeight="false" outlineLevel="0" collapsed="false">
      <c r="A1" s="1" t="s">
        <v>131</v>
      </c>
    </row>
    <row r="2" customFormat="false" ht="15" hidden="false" customHeight="false" outlineLevel="0" collapsed="false">
      <c r="A2" s="2" t="s">
        <v>132</v>
      </c>
    </row>
    <row r="4" customFormat="false" ht="15" hidden="false" customHeight="false" outlineLevel="0" collapsed="false">
      <c r="A4" s="7" t="s">
        <v>133</v>
      </c>
      <c r="B4" s="7" t="s">
        <v>134</v>
      </c>
      <c r="C4" s="7" t="s">
        <v>135</v>
      </c>
      <c r="D4" s="7" t="s">
        <v>120</v>
      </c>
    </row>
    <row r="5" customFormat="false" ht="15" hidden="false" customHeight="false" outlineLevel="0" collapsed="false">
      <c r="A5" s="9" t="s">
        <v>136</v>
      </c>
      <c r="B5" s="10" t="n">
        <f aca="false">COUNTA(TC_Chuc_nang!$A$5:$A$500)</f>
        <v>1</v>
      </c>
      <c r="C5" s="10" t="n">
        <v>60</v>
      </c>
      <c r="D5" s="11" t="str">
        <f aca="false">IF(B5&gt;=C5,"Đạt","Chưa đạt")</f>
        <v>Chưa đạt</v>
      </c>
    </row>
    <row r="6" customFormat="false" ht="15" hidden="false" customHeight="false" outlineLevel="0" collapsed="false">
      <c r="A6" s="9" t="s">
        <v>137</v>
      </c>
      <c r="B6" s="10" t="n">
        <f aca="false">COUNTA(TC_Phi_chuc_nang!$A$5:$A$500)</f>
        <v>1</v>
      </c>
      <c r="C6" s="10" t="n">
        <v>10</v>
      </c>
      <c r="D6" s="11" t="str">
        <f aca="false">IF(B6&gt;=C6,"Đạt","Chưa đạt")</f>
        <v>Chưa đạt</v>
      </c>
    </row>
    <row r="7" customFormat="false" ht="15" hidden="false" customHeight="false" outlineLevel="0" collapsed="false">
      <c r="A7" s="9" t="s">
        <v>138</v>
      </c>
      <c r="B7" s="10" t="n">
        <f aca="false">COUNTIF(TC_Chuc_nang!$C$5:$C$500,"Use case / E2E")</f>
        <v>0</v>
      </c>
      <c r="C7" s="10" t="n">
        <v>9</v>
      </c>
      <c r="D7" s="11" t="str">
        <f aca="false">IF(B7&gt;=C7,"Đạt","Chưa đạt")</f>
        <v>Chưa đạt</v>
      </c>
    </row>
    <row r="8" customFormat="false" ht="15" hidden="false" customHeight="false" outlineLevel="0" collapsed="false">
      <c r="A8" s="9" t="s">
        <v>139</v>
      </c>
      <c r="B8" s="10" t="n">
        <f aca="false">COUNTIF(B36:B43,"&gt;0")</f>
        <v>1</v>
      </c>
      <c r="C8" s="10" t="n">
        <v>4</v>
      </c>
      <c r="D8" s="11" t="str">
        <f aca="false">IF(B8&gt;=C8,"Đạt","Chưa đạt")</f>
        <v>Chưa đạt</v>
      </c>
    </row>
    <row r="9" customFormat="false" ht="15" hidden="false" customHeight="false" outlineLevel="0" collapsed="false">
      <c r="A9" s="2" t="s">
        <v>140</v>
      </c>
    </row>
    <row r="11" customFormat="false" ht="26.85" hidden="false" customHeight="false" outlineLevel="0" collapsed="false">
      <c r="A11" s="7" t="s">
        <v>141</v>
      </c>
      <c r="B11" s="7" t="s">
        <v>142</v>
      </c>
      <c r="C11" s="7" t="s">
        <v>143</v>
      </c>
      <c r="D11" s="7" t="s">
        <v>144</v>
      </c>
    </row>
    <row r="12" customFormat="false" ht="15" hidden="false" customHeight="false" outlineLevel="0" collapsed="false">
      <c r="A12" s="12" t="s">
        <v>145</v>
      </c>
      <c r="B12" s="10" t="n">
        <f aca="false">COUNTA(TC_Chuc_nang!$A$5:$A$500)</f>
        <v>1</v>
      </c>
      <c r="C12" s="10" t="n">
        <f aca="false">COUNTA(TC_Phi_chuc_nang!$A$5:$A$500)</f>
        <v>1</v>
      </c>
      <c r="D12" s="13" t="n">
        <f aca="false">B12+C12</f>
        <v>2</v>
      </c>
    </row>
    <row r="13" customFormat="false" ht="15" hidden="false" customHeight="false" outlineLevel="0" collapsed="false">
      <c r="A13" s="9" t="s">
        <v>96</v>
      </c>
      <c r="B13" s="10" t="n">
        <f aca="false">COUNTIF(TC_Chuc_nang!$J$5:$J$500,"Pass")</f>
        <v>0</v>
      </c>
      <c r="C13" s="10" t="n">
        <f aca="false">COUNTIF(TC_Phi_chuc_nang!$J$5:$J$500,"Pass")</f>
        <v>0</v>
      </c>
      <c r="D13" s="10" t="n">
        <f aca="false">B13+C13</f>
        <v>0</v>
      </c>
    </row>
    <row r="14" customFormat="false" ht="15" hidden="false" customHeight="false" outlineLevel="0" collapsed="false">
      <c r="A14" s="9" t="s">
        <v>67</v>
      </c>
      <c r="B14" s="10" t="n">
        <f aca="false">COUNTIF(TC_Chuc_nang!$J$5:$J$500,"Fail")</f>
        <v>1</v>
      </c>
      <c r="C14" s="10" t="n">
        <f aca="false">COUNTIF(TC_Phi_chuc_nang!$J$5:$J$500,"Fail")</f>
        <v>1</v>
      </c>
      <c r="D14" s="10" t="n">
        <f aca="false">B14+C14</f>
        <v>2</v>
      </c>
    </row>
    <row r="15" customFormat="false" ht="15" hidden="false" customHeight="false" outlineLevel="0" collapsed="false">
      <c r="A15" s="9" t="s">
        <v>97</v>
      </c>
      <c r="B15" s="10" t="n">
        <f aca="false">COUNTIF(TC_Chuc_nang!$J$5:$J$500,"Blocked")</f>
        <v>0</v>
      </c>
      <c r="C15" s="10" t="n">
        <f aca="false">COUNTIF(TC_Phi_chuc_nang!$J$5:$J$500,"Blocked")</f>
        <v>0</v>
      </c>
      <c r="D15" s="10" t="n">
        <f aca="false">B15+C15</f>
        <v>0</v>
      </c>
    </row>
    <row r="16" customFormat="false" ht="15" hidden="false" customHeight="false" outlineLevel="0" collapsed="false">
      <c r="A16" s="9" t="s">
        <v>146</v>
      </c>
      <c r="B16" s="10" t="n">
        <f aca="false">COUNTIF(TC_Chuc_nang!$J$5:$J$500,"Chưa chạy")</f>
        <v>0</v>
      </c>
      <c r="C16" s="10" t="n">
        <f aca="false">COUNTIF(TC_Phi_chuc_nang!$J$5:$J$500,"Chưa chạy")</f>
        <v>0</v>
      </c>
      <c r="D16" s="10" t="n">
        <f aca="false">B16+C16</f>
        <v>0</v>
      </c>
    </row>
    <row r="17" customFormat="false" ht="15" hidden="false" customHeight="false" outlineLevel="0" collapsed="false">
      <c r="A17" s="9" t="s">
        <v>147</v>
      </c>
      <c r="B17" s="10" t="n">
        <f aca="false">B13+B14+B15</f>
        <v>1</v>
      </c>
      <c r="C17" s="10" t="n">
        <f aca="false">C13+C14+C15</f>
        <v>1</v>
      </c>
      <c r="D17" s="10" t="n">
        <f aca="false">B17+C17</f>
        <v>2</v>
      </c>
    </row>
    <row r="18" customFormat="false" ht="15" hidden="false" customHeight="false" outlineLevel="0" collapsed="false">
      <c r="A18" s="12" t="s">
        <v>148</v>
      </c>
      <c r="B18" s="14" t="n">
        <f aca="false">IF(B17=0,"",B13/B17)</f>
        <v>0</v>
      </c>
      <c r="C18" s="14" t="n">
        <f aca="false">IF(C17=0,"",C13/C17)</f>
        <v>0</v>
      </c>
      <c r="D18" s="15" t="n">
        <f aca="false">IF(D17=0,"",D13/D17)</f>
        <v>0</v>
      </c>
    </row>
    <row r="20" customFormat="false" ht="15" hidden="false" customHeight="false" outlineLevel="0" collapsed="false">
      <c r="A20" s="7" t="s">
        <v>149</v>
      </c>
      <c r="B20" s="7" t="s">
        <v>150</v>
      </c>
      <c r="C20" s="7" t="s">
        <v>123</v>
      </c>
      <c r="D20" s="7" t="s">
        <v>151</v>
      </c>
      <c r="E20" s="7" t="s">
        <v>152</v>
      </c>
      <c r="F20" s="7" t="s">
        <v>144</v>
      </c>
    </row>
    <row r="21" customFormat="false" ht="15" hidden="false" customHeight="false" outlineLevel="0" collapsed="false">
      <c r="A21" s="9" t="s">
        <v>122</v>
      </c>
      <c r="B21" s="10" t="n">
        <f aca="false">COUNTIFS(Bug_Report!$C$5:$C$500,$A21,Bug_Report!$D$5:$D$500,B$20)</f>
        <v>0</v>
      </c>
      <c r="C21" s="10" t="n">
        <f aca="false">COUNTIFS(Bug_Report!$C$5:$C$500,$A21,Bug_Report!$D$5:$D$500,C$20)</f>
        <v>1</v>
      </c>
      <c r="D21" s="10" t="n">
        <f aca="false">COUNTIFS(Bug_Report!$C$5:$C$500,$A21,Bug_Report!$D$5:$D$500,D$20)</f>
        <v>0</v>
      </c>
      <c r="E21" s="10" t="n">
        <f aca="false">COUNTIFS(Bug_Report!$C$5:$C$500,$A21,Bug_Report!$D$5:$D$500,E$20)</f>
        <v>0</v>
      </c>
      <c r="F21" s="13" t="n">
        <f aca="false">SUM(B21:E21)</f>
        <v>1</v>
      </c>
    </row>
    <row r="22" customFormat="false" ht="15" hidden="false" customHeight="false" outlineLevel="0" collapsed="false">
      <c r="A22" s="9" t="s">
        <v>153</v>
      </c>
      <c r="B22" s="10" t="n">
        <f aca="false">COUNTIFS(Bug_Report!$C$5:$C$500,$A22,Bug_Report!$D$5:$D$500,B$20)</f>
        <v>0</v>
      </c>
      <c r="C22" s="10" t="n">
        <f aca="false">COUNTIFS(Bug_Report!$C$5:$C$500,$A22,Bug_Report!$D$5:$D$500,C$20)</f>
        <v>0</v>
      </c>
      <c r="D22" s="10" t="n">
        <f aca="false">COUNTIFS(Bug_Report!$C$5:$C$500,$A22,Bug_Report!$D$5:$D$500,D$20)</f>
        <v>0</v>
      </c>
      <c r="E22" s="10" t="n">
        <f aca="false">COUNTIFS(Bug_Report!$C$5:$C$500,$A22,Bug_Report!$D$5:$D$500,E$20)</f>
        <v>0</v>
      </c>
      <c r="F22" s="13" t="n">
        <f aca="false">SUM(B22:E22)</f>
        <v>0</v>
      </c>
    </row>
    <row r="23" customFormat="false" ht="15" hidden="false" customHeight="false" outlineLevel="0" collapsed="false">
      <c r="A23" s="9" t="s">
        <v>154</v>
      </c>
      <c r="B23" s="10" t="n">
        <f aca="false">COUNTIFS(Bug_Report!$C$5:$C$500,$A23,Bug_Report!$D$5:$D$500,B$20)</f>
        <v>0</v>
      </c>
      <c r="C23" s="10" t="n">
        <f aca="false">COUNTIFS(Bug_Report!$C$5:$C$500,$A23,Bug_Report!$D$5:$D$500,C$20)</f>
        <v>0</v>
      </c>
      <c r="D23" s="10" t="n">
        <f aca="false">COUNTIFS(Bug_Report!$C$5:$C$500,$A23,Bug_Report!$D$5:$D$500,D$20)</f>
        <v>0</v>
      </c>
      <c r="E23" s="10" t="n">
        <f aca="false">COUNTIFS(Bug_Report!$C$5:$C$500,$A23,Bug_Report!$D$5:$D$500,E$20)</f>
        <v>0</v>
      </c>
      <c r="F23" s="13" t="n">
        <f aca="false">SUM(B23:E23)</f>
        <v>0</v>
      </c>
    </row>
    <row r="24" customFormat="false" ht="15" hidden="false" customHeight="false" outlineLevel="0" collapsed="false">
      <c r="A24" s="9" t="s">
        <v>155</v>
      </c>
      <c r="B24" s="10" t="n">
        <f aca="false">COUNTIFS(Bug_Report!$C$5:$C$500,$A24,Bug_Report!$D$5:$D$500,B$20)</f>
        <v>0</v>
      </c>
      <c r="C24" s="10" t="n">
        <f aca="false">COUNTIFS(Bug_Report!$C$5:$C$500,$A24,Bug_Report!$D$5:$D$500,C$20)</f>
        <v>0</v>
      </c>
      <c r="D24" s="10" t="n">
        <f aca="false">COUNTIFS(Bug_Report!$C$5:$C$500,$A24,Bug_Report!$D$5:$D$500,D$20)</f>
        <v>0</v>
      </c>
      <c r="E24" s="10" t="n">
        <f aca="false">COUNTIFS(Bug_Report!$C$5:$C$500,$A24,Bug_Report!$D$5:$D$500,E$20)</f>
        <v>0</v>
      </c>
      <c r="F24" s="13" t="n">
        <f aca="false">SUM(B24:E24)</f>
        <v>0</v>
      </c>
    </row>
    <row r="25" customFormat="false" ht="15" hidden="false" customHeight="false" outlineLevel="0" collapsed="false">
      <c r="A25" s="9" t="s">
        <v>156</v>
      </c>
      <c r="B25" s="10" t="n">
        <f aca="false">COUNTIFS(Bug_Report!$C$5:$C$500,$A25,Bug_Report!$D$5:$D$500,B$20)</f>
        <v>0</v>
      </c>
      <c r="C25" s="10" t="n">
        <f aca="false">COUNTIFS(Bug_Report!$C$5:$C$500,$A25,Bug_Report!$D$5:$D$500,C$20)</f>
        <v>0</v>
      </c>
      <c r="D25" s="10" t="n">
        <f aca="false">COUNTIFS(Bug_Report!$C$5:$C$500,$A25,Bug_Report!$D$5:$D$500,D$20)</f>
        <v>0</v>
      </c>
      <c r="E25" s="10" t="n">
        <f aca="false">COUNTIFS(Bug_Report!$C$5:$C$500,$A25,Bug_Report!$D$5:$D$500,E$20)</f>
        <v>0</v>
      </c>
      <c r="F25" s="13" t="n">
        <f aca="false">SUM(B25:E25)</f>
        <v>0</v>
      </c>
    </row>
    <row r="26" customFormat="false" ht="15" hidden="false" customHeight="false" outlineLevel="0" collapsed="false">
      <c r="A26" s="12" t="s">
        <v>144</v>
      </c>
      <c r="B26" s="13" t="n">
        <f aca="false">SUM(B21:B25)</f>
        <v>0</v>
      </c>
      <c r="C26" s="13" t="n">
        <f aca="false">SUM(C21:C25)</f>
        <v>1</v>
      </c>
      <c r="D26" s="13" t="n">
        <f aca="false">SUM(D21:D25)</f>
        <v>0</v>
      </c>
      <c r="E26" s="13" t="n">
        <f aca="false">SUM(E21:E25)</f>
        <v>0</v>
      </c>
      <c r="F26" s="13" t="n">
        <f aca="false">SUM(F21:F25)</f>
        <v>1</v>
      </c>
    </row>
    <row r="28" customFormat="false" ht="15" hidden="false" customHeight="false" outlineLevel="0" collapsed="false">
      <c r="A28" s="7" t="s">
        <v>157</v>
      </c>
      <c r="B28" s="7" t="s">
        <v>158</v>
      </c>
    </row>
    <row r="29" customFormat="false" ht="15" hidden="false" customHeight="false" outlineLevel="0" collapsed="false">
      <c r="A29" s="9" t="s">
        <v>130</v>
      </c>
      <c r="B29" s="10" t="n">
        <f aca="false">COUNTIF(Bug_Report!$P$5:$P$500,A29)</f>
        <v>1</v>
      </c>
    </row>
    <row r="30" customFormat="false" ht="15" hidden="false" customHeight="false" outlineLevel="0" collapsed="false">
      <c r="A30" s="9" t="s">
        <v>159</v>
      </c>
      <c r="B30" s="10" t="n">
        <f aca="false">COUNTIF(Bug_Report!$P$5:$P$500,A30)</f>
        <v>0</v>
      </c>
    </row>
    <row r="31" customFormat="false" ht="15" hidden="false" customHeight="false" outlineLevel="0" collapsed="false">
      <c r="A31" s="9" t="s">
        <v>160</v>
      </c>
      <c r="B31" s="10" t="n">
        <f aca="false">COUNTIF(Bug_Report!$P$5:$P$500,A31)</f>
        <v>0</v>
      </c>
    </row>
    <row r="32" customFormat="false" ht="15" hidden="false" customHeight="false" outlineLevel="0" collapsed="false">
      <c r="A32" s="9" t="s">
        <v>161</v>
      </c>
      <c r="B32" s="10" t="n">
        <f aca="false">COUNTIF(Bug_Report!$P$5:$P$500,A32)</f>
        <v>0</v>
      </c>
    </row>
    <row r="33" customFormat="false" ht="15" hidden="false" customHeight="false" outlineLevel="0" collapsed="false">
      <c r="A33" s="9" t="s">
        <v>162</v>
      </c>
      <c r="B33" s="10" t="n">
        <f aca="false">COUNTIF(Bug_Report!$P$5:$P$500,A33)</f>
        <v>0</v>
      </c>
    </row>
    <row r="35" customFormat="false" ht="15" hidden="false" customHeight="false" outlineLevel="0" collapsed="false">
      <c r="A35" s="7" t="s">
        <v>163</v>
      </c>
      <c r="B35" s="7" t="s">
        <v>158</v>
      </c>
    </row>
    <row r="36" customFormat="false" ht="15" hidden="false" customHeight="false" outlineLevel="0" collapsed="false">
      <c r="A36" s="9" t="s">
        <v>164</v>
      </c>
      <c r="B36" s="10" t="n">
        <f aca="false">COUNTIF(TC_Chuc_nang!$C$5:$C$500,A36)</f>
        <v>0</v>
      </c>
    </row>
    <row r="37" customFormat="false" ht="15" hidden="false" customHeight="false" outlineLevel="0" collapsed="false">
      <c r="A37" s="9" t="s">
        <v>60</v>
      </c>
      <c r="B37" s="10" t="n">
        <f aca="false">COUNTIF(TC_Chuc_nang!$C$5:$C$500,A37)</f>
        <v>1</v>
      </c>
    </row>
    <row r="38" customFormat="false" ht="15" hidden="false" customHeight="false" outlineLevel="0" collapsed="false">
      <c r="A38" s="9" t="s">
        <v>165</v>
      </c>
      <c r="B38" s="10" t="n">
        <f aca="false">COUNTIF(TC_Chuc_nang!$C$5:$C$500,A38)</f>
        <v>0</v>
      </c>
    </row>
    <row r="39" customFormat="false" ht="15" hidden="false" customHeight="false" outlineLevel="0" collapsed="false">
      <c r="A39" s="9" t="s">
        <v>166</v>
      </c>
      <c r="B39" s="10" t="n">
        <f aca="false">COUNTIF(TC_Chuc_nang!$C$5:$C$500,A39)</f>
        <v>0</v>
      </c>
    </row>
    <row r="40" customFormat="false" ht="15" hidden="false" customHeight="false" outlineLevel="0" collapsed="false">
      <c r="A40" s="9" t="s">
        <v>167</v>
      </c>
      <c r="B40" s="10" t="n">
        <f aca="false">COUNTIF(TC_Chuc_nang!$C$5:$C$500,A40)</f>
        <v>0</v>
      </c>
    </row>
    <row r="41" customFormat="false" ht="15" hidden="false" customHeight="false" outlineLevel="0" collapsed="false">
      <c r="A41" s="9" t="s">
        <v>168</v>
      </c>
      <c r="B41" s="10" t="n">
        <f aca="false">COUNTIF(TC_Chuc_nang!$C$5:$C$500,A41)</f>
        <v>0</v>
      </c>
    </row>
    <row r="42" customFormat="false" ht="15" hidden="false" customHeight="false" outlineLevel="0" collapsed="false">
      <c r="A42" s="9" t="s">
        <v>169</v>
      </c>
      <c r="B42" s="10" t="n">
        <f aca="false">COUNTIF(TC_Chuc_nang!$C$5:$C$500,A42)</f>
        <v>0</v>
      </c>
    </row>
    <row r="43" customFormat="false" ht="15" hidden="false" customHeight="false" outlineLevel="0" collapsed="false">
      <c r="A43" s="9" t="s">
        <v>170</v>
      </c>
      <c r="B43" s="10" t="n">
        <f aca="false">COUNTIF(TC_Chuc_nang!$C$5:$C$500,A43)</f>
        <v>0</v>
      </c>
    </row>
    <row r="45" customFormat="false" ht="15" hidden="false" customHeight="false" outlineLevel="0" collapsed="false">
      <c r="A45" s="7" t="s">
        <v>171</v>
      </c>
      <c r="B45" s="7" t="s">
        <v>158</v>
      </c>
    </row>
    <row r="46" customFormat="false" ht="15" hidden="false" customHeight="false" outlineLevel="0" collapsed="false">
      <c r="A46" s="9" t="s">
        <v>172</v>
      </c>
      <c r="B46" s="10" t="n">
        <f aca="false">COUNTA(Review_SRS!$D$5:$D$500)</f>
        <v>1</v>
      </c>
    </row>
    <row r="47" customFormat="false" ht="15" hidden="false" customHeight="false" outlineLevel="0" collapsed="false">
      <c r="A47" s="9" t="s">
        <v>173</v>
      </c>
      <c r="B47" s="10" t="n">
        <f aca="false">COUNTIF(Review_SRS!$H$5:$H$500,"Chấp nhận")</f>
        <v>1</v>
      </c>
    </row>
  </sheetData>
  <conditionalFormatting sqref="D5:D8">
    <cfRule type="cellIs" priority="2" operator="equal" aboveAverage="0" equalAverage="0" bottom="0" percent="0" rank="0" text="" dxfId="0">
      <formula>"Đạt"</formula>
    </cfRule>
    <cfRule type="cellIs" priority="3" operator="equal" aboveAverage="0" equalAverage="0" bottom="0" percent="0" rank="0" text="" dxfId="1">
      <formula>"Chưa đạt"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2026-09-24T04:24:38Z</dcterms:created>
  <dc:creator>openpyxl</dc:creator>
  <dc:description/>
  <dc:language>en-US</dc:language>
  <cp:lastModifiedBy/>
  <dcterms:modified xsi:type="dcterms:W3CDTF">2026-09-24T04:24:38Z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